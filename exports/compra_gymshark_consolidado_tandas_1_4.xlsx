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f11979a2845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ra_Gymshark" sheetId="1" r:id="Rb54c6093f4f44142"/>
    <x:sheet xmlns:r="http://schemas.openxmlformats.org/officeDocument/2006/relationships" name="Resumen" sheetId="2" r:id="R6544a28d016c4184"/>
    <x:sheet xmlns:r="http://schemas.openxmlformats.org/officeDocument/2006/relationships" name="Catalogos" sheetId="3" r:id="R6113747ab5d245dc"/>
    <x:sheet xmlns:r="http://schemas.openxmlformats.org/officeDocument/2006/relationships" name="Duplicados_detectados" sheetId="4" r:id="R461b662ae64a49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$#,##0.00"/>
    <x:numFmt numFmtId="202" formatCode="#,##0.00"/>
    <x:numFmt numFmtId="203" formatCode="0.00"/>
    <x:numFmt numFmtId="204" formatCode="$0.00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92400E"/>
      <x:name val="Carlito"/>
    </x:font>
    <x:font>
      <x:b/>
      <x:sz val="11"/>
      <x:color rgb="FF111827"/>
      <x:name val="Carlito"/>
    </x:font>
    <x:font>
      <x:b/>
      <x:sz val="13"/>
      <x:color rgb="FFFFFFF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C3AED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111827"/>
      </x:patternFill>
    </x:fill>
    <x:fill>
      <x:patternFill patternType="solid">
        <x:fgColor rgb="FF92400E"/>
      </x:patternFill>
    </x:fill>
    <x:fill>
      <x:patternFill patternType="solid">
        <x:fgColor rgb="FF374151"/>
      </x:patternFill>
    </x:fill>
    <x:fill>
      <x:patternFill patternType="solid">
        <x:fgColor rgb="FFF59E0B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EF3C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7C2D12"/>
      </x:patternFill>
    </x:fill>
    <x:fill>
      <x:patternFill patternType="solid">
        <x:fgColor rgb="FF92400E"/>
      </x:patternFill>
    </x:fill>
  </x:fills>
  <x:borders count="2">
    <x:border/>
    <x:border/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/>
    </x:xf>
    <x:xf numFmtId="200" fontId="2" fillId="8" borderId="0" xfId="0" applyNumberFormat="1" applyFont="1" applyFill="1" applyBorder="1" applyAlignment="1">
      <x:alignment horizontal="center" wrapText="1"/>
    </x:xf>
    <x:xf numFmtId="201" fontId="2" fillId="8" borderId="0" xfId="0" applyNumberFormat="1" applyFont="1" applyFill="1" applyBorder="1" applyAlignment="1">
      <x:alignment horizontal="center" wrapText="1"/>
    </x:xf>
    <x:xf numFmtId="0" fontId="5" fillId="10" borderId="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2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/>
    <x:xf numFmtId="0" fontId="1" fillId="14" borderId="0" xfId="0" applyNumberFormat="1" applyFont="1" applyFill="1" applyBorder="1" applyAlignment="1">
      <x:alignment horizontal="center" vertical="center"/>
    </x:xf>
    <x:xf numFmtId="0" fontId="2" fillId="15" borderId="0" xfId="0" applyNumberFormat="1" applyFont="1" applyFill="1" applyBorder="1" applyAlignment="1">
      <x:alignment horizontal="center"/>
    </x:xf>
    <x:xf numFmtId="203" fontId="2" fillId="8" borderId="0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7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4a4945b1d48c8" /><Relationship Type="http://schemas.openxmlformats.org/officeDocument/2006/relationships/theme" Target="/xl/theme/theme1.xml" Id="Rba01b863459a400b" /><Relationship Type="http://schemas.openxmlformats.org/officeDocument/2006/relationships/sharedStrings" Target="/xl/sharedStrings.xml" Id="R22badf91a9584bcd" /><Relationship Type="http://schemas.openxmlformats.org/officeDocument/2006/relationships/worksheet" Target="/xl/worksheets/sheet1.xml" Id="Rb54c6093f4f44142" /><Relationship Type="http://schemas.openxmlformats.org/officeDocument/2006/relationships/worksheet" Target="/xl/worksheets/sheet2.xml" Id="R6544a28d016c4184" /><Relationship Type="http://schemas.openxmlformats.org/officeDocument/2006/relationships/worksheet" Target="/xl/worksheets/sheet3.xml" Id="R6113747ab5d245dc" /><Relationship Type="http://schemas.openxmlformats.org/officeDocument/2006/relationships/worksheet" Target="/xl/worksheets/sheet4.xml" Id="R461b662ae64a49ca" /></Relationships>
</file>

<file path=xl/tables/table1.xml><?xml version="1.0" encoding="utf-8"?>
<x:table xmlns:x="http://schemas.openxmlformats.org/spreadsheetml/2006/main" id="1" name="CompraGymshark" displayName="CompraGymshark" ref="A2:Q41" headerRowCount="1" totalsRowCount="0" totalsRowShown="0">
  <x:tableColumns count="17">
    <x:tableColumn id="1" name="Ítem"/>
    <x:tableColumn id="2" name="Línea"/>
    <x:tableColumn id="3" name="Producto"/>
    <x:tableColumn id="4" name="Categoría sugerida"/>
    <x:tableColumn id="5" name="Color"/>
    <x:tableColumn id="6" name="Talla"/>
    <x:tableColumn id="7" name="Cantidad"/>
    <x:tableColumn id="8" name="Precio mostrado USD"/>
    <x:tableColumn id="9" name="Precio unitario estimado USD"/>
    <x:tableColumn id="10" name="Subtotal asumido USD"/>
    <x:tableColumn id="11" name="Estado compra"/>
    <x:tableColumn id="12" name="Estado recepción"/>
    <x:tableColumn id="13" name="Publicar ecommerce"/>
    <x:tableColumn id="14" name="Stock vendible inicial"/>
    <x:tableColumn id="15" name="Imagen fuente"/>
    <x:tableColumn id="16" name="Observaciones"/>
    <x:tableColumn id="17" name="Clave varia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290c821b9f4d94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4" hidden="0" customWidth="1"/>
    <x:col min="4" max="4" width="20" hidden="0" customWidth="1"/>
    <x:col min="5" max="5" width="28" hidden="0" customWidth="1"/>
    <x:col min="6" max="6" width="9" hidden="0" customWidth="1"/>
    <x:col min="7" max="7" width="10" hidden="0" customWidth="1"/>
    <x:col min="8" max="8" width="16" hidden="0" customWidth="1"/>
    <x:col min="9" max="9" width="20" hidden="0" customWidth="1"/>
    <x:col min="10" max="10" width="18" hidden="0" customWidth="1"/>
    <x:col min="11" max="11" width="15" hidden="0" customWidth="1"/>
    <x:col min="12" max="12" width="16" hidden="0" customWidth="1"/>
    <x:col min="13" max="13" width="16" hidden="0" customWidth="1"/>
    <x:col min="14" max="14" width="18" hidden="0" customWidth="1"/>
    <x:col min="15" max="15" width="12" hidden="0" customWidth="1"/>
    <x:col min="16" max="16" width="38" hidden="0" customWidth="1"/>
    <x:col min="17" max="17" width="46" hidden="0" customWidth="1"/>
  </x:cols>
  <x:sheetData>
    <x:row r="1" ht="24" customHeight="1">
      <x:c r="A1" s="68" t="str">
        <x:v>Compra Gymshark - consolidado desde imágenes IMG01-IMG25 (compra en tránsito)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36" customHeight="1">
      <x:c r="A2" s="51" t="str">
        <x:v>Ítem</x:v>
      </x:c>
      <x:c r="B2" s="51" t="str">
        <x:v>Línea</x:v>
      </x:c>
      <x:c r="C2" s="51" t="str">
        <x:v>Producto</x:v>
      </x:c>
      <x:c r="D2" s="51" t="str">
        <x:v>Categoría sugerida</x:v>
      </x:c>
      <x:c r="E2" s="51" t="str">
        <x:v>Color</x:v>
      </x:c>
      <x:c r="F2" s="51" t="str">
        <x:v>Talla</x:v>
      </x:c>
      <x:c r="G2" s="51" t="str">
        <x:v>Cantidad</x:v>
      </x:c>
      <x:c r="H2" s="51" t="str">
        <x:v>Precio mostrado USD</x:v>
      </x:c>
      <x:c r="I2" s="51" t="str">
        <x:v>Precio unitario estimado USD</x:v>
      </x:c>
      <x:c r="J2" s="51" t="str">
        <x:v>Subtotal asumido USD</x:v>
      </x:c>
      <x:c r="K2" s="51" t="str">
        <x:v>Estado compra</x:v>
      </x:c>
      <x:c r="L2" s="51" t="str">
        <x:v>Estado recepción</x:v>
      </x:c>
      <x:c r="M2" s="51" t="str">
        <x:v>Publicar ecommerce</x:v>
      </x:c>
      <x:c r="N2" s="51" t="str">
        <x:v>Stock vendible inicial</x:v>
      </x:c>
      <x:c r="O2" s="51" t="str">
        <x:v>Imagen fuente</x:v>
      </x:c>
      <x:c r="P2" s="51" t="str">
        <x:v>Observaciones</x:v>
      </x:c>
      <x:c r="Q2" s="51" t="str">
        <x:v>Clave variante</x:v>
      </x:c>
    </x:row>
    <x:row r="3">
      <x:c r="A3" s="20" t="n">
        <x:v>1</x:v>
      </x:c>
      <x:c r="B3" s="20" t="str">
        <x:v>GYMSHARK</x:v>
      </x:c>
      <x:c r="C3" s="20" t="str">
        <x:v>Lifting Essentials Graphic Brushed 4' Shorts</x:v>
      </x:c>
      <x:c r="D3" s="20" t="str">
        <x:v>SHORTS</x:v>
      </x:c>
      <x:c r="E3" s="20" t="str">
        <x:v>Black</x:v>
      </x:c>
      <x:c r="F3" s="20" t="str">
        <x:v>S</x:v>
      </x:c>
      <x:c r="G3" s="22" t="n">
        <x:v>1</x:v>
      </x:c>
      <x:c r="H3" s="24" t="n">
        <x:v>10.2</x:v>
      </x:c>
      <x:c r="I3" s="24" t="n">
        <x:f>IF(G3&gt;0,H3/G3,0)</x:f>
        <x:v>10.2</x:v>
      </x:c>
      <x:c r="J3" s="24" t="n">
        <x:f>G3*I3</x:f>
        <x:v>10.2</x:v>
      </x:c>
      <x:c r="K3" s="20" t="str">
        <x:v>EN_TRANSITO</x:v>
      </x:c>
      <x:c r="L3" s="20" t="str">
        <x:v>PENDIENTE</x:v>
      </x:c>
      <x:c r="M3" s="20" t="str">
        <x:v>NO</x:v>
      </x:c>
      <x:c r="N3" s="22" t="n">
        <x:v>0</x:v>
      </x:c>
      <x:c r="O3" s="20" t="str">
        <x:v>IMG01</x:v>
      </x:c>
      <x:c r="P3" s="20" t="str"/>
      <x:c r="Q3" s="20" t="str">
        <x:f>C3&amp;" | "&amp;E3&amp;" | "&amp;F3</x:f>
        <x:v>Lifting Essentials Graphic Brushed 4' Shorts | Black | S</x:v>
      </x:c>
    </x:row>
    <x:row r="4">
      <x:c r="A4" s="20" t="n">
        <x:v>2</x:v>
      </x:c>
      <x:c r="B4" s="20" t="str">
        <x:v>GYMSHARK</x:v>
      </x:c>
      <x:c r="C4" s="20" t="str">
        <x:v>Asymmetric Sports Bra</x:v>
      </x:c>
      <x:c r="D4" s="20" t="str">
        <x:v>TOPS / SPORTS BRA</x:v>
      </x:c>
      <x:c r="E4" s="20" t="str">
        <x:v>Black</x:v>
      </x:c>
      <x:c r="F4" s="20" t="str">
        <x:v>S</x:v>
      </x:c>
      <x:c r="G4" s="22" t="n">
        <x:v>1</x:v>
      </x:c>
      <x:c r="H4" s="24" t="n">
        <x:v>9.6</x:v>
      </x:c>
      <x:c r="I4" s="24" t="n">
        <x:f>IF(G4&gt;0,H4/G4,0)</x:f>
        <x:v>9.6</x:v>
      </x:c>
      <x:c r="J4" s="24" t="n">
        <x:f>G4*I4</x:f>
        <x:v>9.6</x:v>
      </x:c>
      <x:c r="K4" s="20" t="str">
        <x:v>EN_TRANSITO</x:v>
      </x:c>
      <x:c r="L4" s="20" t="str">
        <x:v>PENDIENTE</x:v>
      </x:c>
      <x:c r="M4" s="20" t="str">
        <x:v>NO</x:v>
      </x:c>
      <x:c r="N4" s="22" t="n">
        <x:v>0</x:v>
      </x:c>
      <x:c r="O4" s="20" t="str">
        <x:v>IMG01</x:v>
      </x:c>
      <x:c r="P4" s="20" t="str"/>
      <x:c r="Q4" s="20" t="str">
        <x:f>C4&amp;" | "&amp;E4&amp;" | "&amp;F4</x:f>
        <x:v>Asymmetric Sports Bra | Black | S</x:v>
      </x:c>
    </x:row>
    <x:row r="5">
      <x:c r="A5" s="20" t="n">
        <x:v>3</x:v>
      </x:c>
      <x:c r="B5" s="20" t="str">
        <x:v>GYMSHARK</x:v>
      </x:c>
      <x:c r="C5" s="20" t="str">
        <x:v>Asymmetric Sports Bra</x:v>
      </x:c>
      <x:c r="D5" s="20" t="str">
        <x:v>TOPS / SPORTS BRA</x:v>
      </x:c>
      <x:c r="E5" s="20" t="str">
        <x:v>White</x:v>
      </x:c>
      <x:c r="F5" s="20" t="str">
        <x:v>S</x:v>
      </x:c>
      <x:c r="G5" s="22" t="n">
        <x:v>1</x:v>
      </x:c>
      <x:c r="H5" s="24" t="n">
        <x:v>9.6</x:v>
      </x:c>
      <x:c r="I5" s="24" t="n">
        <x:f>IF(G5&gt;0,H5/G5,0)</x:f>
        <x:v>9.6</x:v>
      </x:c>
      <x:c r="J5" s="24" t="n">
        <x:f>G5*I5</x:f>
        <x:v>9.6</x:v>
      </x:c>
      <x:c r="K5" s="20" t="str">
        <x:v>EN_TRANSITO</x:v>
      </x:c>
      <x:c r="L5" s="20" t="str">
        <x:v>PENDIENTE</x:v>
      </x:c>
      <x:c r="M5" s="20" t="str">
        <x:v>NO</x:v>
      </x:c>
      <x:c r="N5" s="22" t="n">
        <x:v>0</x:v>
      </x:c>
      <x:c r="O5" s="20" t="str">
        <x:v>IMG01</x:v>
      </x:c>
      <x:c r="P5" s="20" t="str"/>
      <x:c r="Q5" s="20" t="str">
        <x:f>C5&amp;" | "&amp;E5&amp;" | "&amp;F5</x:f>
        <x:v>Asymmetric Sports Bra | White | S</x:v>
      </x:c>
    </x:row>
    <x:row r="6">
      <x:c r="A6" s="20" t="n">
        <x:v>4</x:v>
      </x:c>
      <x:c r="B6" s="20" t="str">
        <x:v>GYMSHARK</x:v>
      </x:c>
      <x:c r="C6" s="20" t="str">
        <x:v>FLEX SHORTS</x:v>
      </x:c>
      <x:c r="D6" s="20" t="str">
        <x:v>SHORTS</x:v>
      </x:c>
      <x:c r="E6" s="20" t="str">
        <x:v>Charcoal Grey Marl</x:v>
      </x:c>
      <x:c r="F6" s="20" t="str">
        <x:v>S</x:v>
      </x:c>
      <x:c r="G6" s="22" t="n">
        <x:v>1</x:v>
      </x:c>
      <x:c r="H6" s="24" t="n">
        <x:v>10.5</x:v>
      </x:c>
      <x:c r="I6" s="24" t="n">
        <x:f>IF(G6&gt;0,H6/G6,0)</x:f>
        <x:v>10.5</x:v>
      </x:c>
      <x:c r="J6" s="24" t="n">
        <x:f>G6*I6</x:f>
        <x:v>10.5</x:v>
      </x:c>
      <x:c r="K6" s="20" t="str">
        <x:v>EN_TRANSITO</x:v>
      </x:c>
      <x:c r="L6" s="20" t="str">
        <x:v>PENDIENTE</x:v>
      </x:c>
      <x:c r="M6" s="20" t="str">
        <x:v>NO</x:v>
      </x:c>
      <x:c r="N6" s="22" t="n">
        <x:v>0</x:v>
      </x:c>
      <x:c r="O6" s="20" t="str">
        <x:v>IMG01</x:v>
      </x:c>
      <x:c r="P6" s="20" t="str"/>
      <x:c r="Q6" s="20" t="str">
        <x:f>C6&amp;" | "&amp;E6&amp;" | "&amp;F6</x:f>
        <x:v>FLEX SHORTS | Charcoal Grey Marl | S</x:v>
      </x:c>
    </x:row>
    <x:row r="7">
      <x:c r="A7" s="20" t="n">
        <x:v>5</x:v>
      </x:c>
      <x:c r="B7" s="20" t="str">
        <x:v>GYMSHARK</x:v>
      </x:c>
      <x:c r="C7" s="20" t="str">
        <x:v>Varsity Graphic Oversized T-shirt</x:v>
      </x:c>
      <x:c r="D7" s="20" t="str">
        <x:v>T-SHIRTS</x:v>
      </x:c>
      <x:c r="E7" s="20" t="str">
        <x:v>Heavy Blue</x:v>
      </x:c>
      <x:c r="F7" s="20" t="str">
        <x:v>XS</x:v>
      </x:c>
      <x:c r="G7" s="22" t="n">
        <x:v>1</x:v>
      </x:c>
      <x:c r="H7" s="24" t="n">
        <x:v>12</x:v>
      </x:c>
      <x:c r="I7" s="24" t="n">
        <x:f>IF(G7&gt;0,H7/G7,0)</x:f>
        <x:v>12</x:v>
      </x:c>
      <x:c r="J7" s="24" t="n">
        <x:f>G7*I7</x:f>
        <x:v>12</x:v>
      </x:c>
      <x:c r="K7" s="20" t="str">
        <x:v>EN_TRANSITO</x:v>
      </x:c>
      <x:c r="L7" s="20" t="str">
        <x:v>PENDIENTE</x:v>
      </x:c>
      <x:c r="M7" s="20" t="str">
        <x:v>NO</x:v>
      </x:c>
      <x:c r="N7" s="22" t="n">
        <x:v>0</x:v>
      </x:c>
      <x:c r="O7" s="20" t="str">
        <x:v>IMG01</x:v>
      </x:c>
      <x:c r="P7" s="20" t="str"/>
      <x:c r="Q7" s="20" t="str">
        <x:f>C7&amp;" | "&amp;E7&amp;" | "&amp;F7</x:f>
        <x:v>Varsity Graphic Oversized T-shirt | Heavy Blue | XS</x:v>
      </x:c>
    </x:row>
    <x:row r="8">
      <x:c r="A8" s="20" t="n">
        <x:v>6</x:v>
      </x:c>
      <x:c r="B8" s="20" t="str">
        <x:v>GYMSHARK</x:v>
      </x:c>
      <x:c r="C8" s="20" t="str">
        <x:v>Strength Department Oversized Hoodie</x:v>
      </x:c>
      <x:c r="D8" s="20" t="str">
        <x:v>HOODIES</x:v>
      </x:c>
      <x:c r="E8" s="20" t="str">
        <x:v>Black</x:v>
      </x:c>
      <x:c r="F8" s="20" t="str">
        <x:v>XS</x:v>
      </x:c>
      <x:c r="G8" s="22" t="n">
        <x:v>1</x:v>
      </x:c>
      <x:c r="H8" s="24" t="n">
        <x:v>21</x:v>
      </x:c>
      <x:c r="I8" s="24" t="n">
        <x:f>IF(G8&gt;0,H8/G8,0)</x:f>
        <x:v>21</x:v>
      </x:c>
      <x:c r="J8" s="24" t="n">
        <x:f>G8*I8</x:f>
        <x:v>21</x:v>
      </x:c>
      <x:c r="K8" s="20" t="str">
        <x:v>EN_TRANSITO</x:v>
      </x:c>
      <x:c r="L8" s="20" t="str">
        <x:v>PENDIENTE</x:v>
      </x:c>
      <x:c r="M8" s="20" t="str">
        <x:v>NO</x:v>
      </x:c>
      <x:c r="N8" s="22" t="n">
        <x:v>0</x:v>
      </x:c>
      <x:c r="O8" s="20" t="str">
        <x:v>IMG01</x:v>
      </x:c>
      <x:c r="P8" s="20" t="str"/>
      <x:c r="Q8" s="20" t="str">
        <x:f>C8&amp;" | "&amp;E8&amp;" | "&amp;F8</x:f>
        <x:v>Strength Department Oversized Hoodie | Black | XS</x:v>
      </x:c>
    </x:row>
    <x:row r="9">
      <x:c r="A9" s="20" t="n">
        <x:v>7</x:v>
      </x:c>
      <x:c r="B9" s="20" t="str">
        <x:v>GYMSHARK</x:v>
      </x:c>
      <x:c r="C9" s="20" t="str">
        <x:v>Legacy Cotton Shorts</x:v>
      </x:c>
      <x:c r="D9" s="20" t="str">
        <x:v>SHORTS</x:v>
      </x:c>
      <x:c r="E9" s="20" t="str">
        <x:v>Black</x:v>
      </x:c>
      <x:c r="F9" s="20" t="str">
        <x:v>S</x:v>
      </x:c>
      <x:c r="G9" s="22" t="n">
        <x:v>1</x:v>
      </x:c>
      <x:c r="H9" s="24" t="n">
        <x:v>13.2</x:v>
      </x:c>
      <x:c r="I9" s="24" t="n">
        <x:f>IF(G9&gt;0,H9/G9,0)</x:f>
        <x:v>13.2</x:v>
      </x:c>
      <x:c r="J9" s="24" t="n">
        <x:f>G9*I9</x:f>
        <x:v>13.2</x:v>
      </x:c>
      <x:c r="K9" s="20" t="str">
        <x:v>EN_TRANSITO</x:v>
      </x:c>
      <x:c r="L9" s="20" t="str">
        <x:v>PENDIENTE</x:v>
      </x:c>
      <x:c r="M9" s="20" t="str">
        <x:v>NO</x:v>
      </x:c>
      <x:c r="N9" s="22" t="n">
        <x:v>0</x:v>
      </x:c>
      <x:c r="O9" s="20" t="str">
        <x:v>IMG01</x:v>
      </x:c>
      <x:c r="P9" s="20" t="str"/>
      <x:c r="Q9" s="20" t="str">
        <x:f>C9&amp;" | "&amp;E9&amp;" | "&amp;F9</x:f>
        <x:v>Legacy Cotton Shorts | Black | S</x:v>
      </x:c>
    </x:row>
    <x:row r="10">
      <x:c r="A10" s="20" t="n">
        <x:v>8</x:v>
      </x:c>
      <x:c r="B10" s="20" t="str">
        <x:v>GYMSHARK</x:v>
      </x:c>
      <x:c r="C10" s="20" t="str">
        <x:v>Everyday Seamless Shorts</x:v>
      </x:c>
      <x:c r="D10" s="20" t="str">
        <x:v>SHORTS</x:v>
      </x:c>
      <x:c r="E10" s="20" t="str">
        <x:v>Butter Yellow</x:v>
      </x:c>
      <x:c r="F10" s="20" t="str">
        <x:v>S</x:v>
      </x:c>
      <x:c r="G10" s="22" t="n">
        <x:v>3</x:v>
      </x:c>
      <x:c r="H10" s="24" t="n">
        <x:v>84</x:v>
      </x:c>
      <x:c r="I10" s="24" t="n">
        <x:f>IF(G10&gt;0,H10/G10,0)</x:f>
        <x:v>28</x:v>
      </x:c>
      <x:c r="J10" s="24" t="n">
        <x:f>G10*I10</x:f>
        <x:v>84</x:v>
      </x:c>
      <x:c r="K10" s="20" t="str">
        <x:v>EN_TRANSITO</x:v>
      </x:c>
      <x:c r="L10" s="20" t="str">
        <x:v>PENDIENTE</x:v>
      </x:c>
      <x:c r="M10" s="20" t="str">
        <x:v>NO</x:v>
      </x:c>
      <x:c r="N10" s="22" t="n">
        <x:v>0</x:v>
      </x:c>
      <x:c r="O10" s="20" t="str">
        <x:v>IMG02</x:v>
      </x:c>
      <x:c r="P10" s="20" t="str">
        <x:v>Precio mostrado con Qty 3; unitario estimado = precio/qty.</x:v>
      </x:c>
      <x:c r="Q10" s="20" t="str">
        <x:f>C10&amp;" | "&amp;E10&amp;" | "&amp;F10</x:f>
        <x:v>Everyday Seamless Shorts | Butter Yellow | S</x:v>
      </x:c>
    </x:row>
    <x:row r="11">
      <x:c r="A11" s="20" t="n">
        <x:v>9</x:v>
      </x:c>
      <x:c r="B11" s="20" t="str">
        <x:v>GYMSHARK</x:v>
      </x:c>
      <x:c r="C11" s="20" t="str">
        <x:v>Everyday Seamless Shorts</x:v>
      </x:c>
      <x:c r="D11" s="20" t="str">
        <x:v>SHORTS</x:v>
      </x:c>
      <x:c r="E11" s="20" t="str">
        <x:v>Butter Yellow</x:v>
      </x:c>
      <x:c r="F11" s="20" t="str">
        <x:v>M</x:v>
      </x:c>
      <x:c r="G11" s="22" t="n">
        <x:v>3</x:v>
      </x:c>
      <x:c r="H11" s="24" t="n">
        <x:v>84</x:v>
      </x:c>
      <x:c r="I11" s="24" t="n">
        <x:f>IF(G11&gt;0,H11/G11,0)</x:f>
        <x:v>28</x:v>
      </x:c>
      <x:c r="J11" s="24" t="n">
        <x:f>G11*I11</x:f>
        <x:v>84</x:v>
      </x:c>
      <x:c r="K11" s="20" t="str">
        <x:v>EN_TRANSITO</x:v>
      </x:c>
      <x:c r="L11" s="20" t="str">
        <x:v>PENDIENTE</x:v>
      </x:c>
      <x:c r="M11" s="20" t="str">
        <x:v>NO</x:v>
      </x:c>
      <x:c r="N11" s="22" t="n">
        <x:v>0</x:v>
      </x:c>
      <x:c r="O11" s="20" t="str">
        <x:v>IMG02</x:v>
      </x:c>
      <x:c r="P11" s="20" t="str">
        <x:v>Precio mostrado con Qty 3; unitario estimado = precio/qty.</x:v>
      </x:c>
      <x:c r="Q11" s="20" t="str">
        <x:f>C11&amp;" | "&amp;E11&amp;" | "&amp;F11</x:f>
        <x:v>Everyday Seamless Shorts | Butter Yellow | M</x:v>
      </x:c>
    </x:row>
    <x:row r="12">
      <x:c r="A12" s="20" t="n">
        <x:v>10</x:v>
      </x:c>
      <x:c r="B12" s="20" t="str">
        <x:v>GYMSHARK</x:v>
      </x:c>
      <x:c r="C12" s="20" t="str">
        <x:v>Everyday Seamless Racerback Sports Bra</x:v>
      </x:c>
      <x:c r="D12" s="20" t="str">
        <x:v>TOPS / SPORTS BRA</x:v>
      </x:c>
      <x:c r="E12" s="20" t="str">
        <x:v>Butter Yellow</x:v>
      </x:c>
      <x:c r="F12" s="20" t="str">
        <x:v>M</x:v>
      </x:c>
      <x:c r="G12" s="22" t="n">
        <x:v>1</x:v>
      </x:c>
      <x:c r="H12" s="24" t="n">
        <x:v>26</x:v>
      </x:c>
      <x:c r="I12" s="24" t="n">
        <x:f>IF(G12&gt;0,H12/G12,0)</x:f>
        <x:v>26</x:v>
      </x:c>
      <x:c r="J12" s="24" t="n">
        <x:f>G12*I12</x:f>
        <x:v>26</x:v>
      </x:c>
      <x:c r="K12" s="20" t="str">
        <x:v>EN_TRANSITO</x:v>
      </x:c>
      <x:c r="L12" s="20" t="str">
        <x:v>PENDIENTE</x:v>
      </x:c>
      <x:c r="M12" s="20" t="str">
        <x:v>NO</x:v>
      </x:c>
      <x:c r="N12" s="22" t="n">
        <x:v>0</x:v>
      </x:c>
      <x:c r="O12" s="20" t="str">
        <x:v>IMG02</x:v>
      </x:c>
      <x:c r="P12" s="20" t="str"/>
      <x:c r="Q12" s="20" t="str">
        <x:f>C12&amp;" | "&amp;E12&amp;" | "&amp;F12</x:f>
        <x:v>Everyday Seamless Racerback Sports Bra | Butter Yellow | M</x:v>
      </x:c>
    </x:row>
    <x:row r="13">
      <x:c r="A13" s="20" t="n">
        <x:v>11</x:v>
      </x:c>
      <x:c r="B13" s="20" t="str">
        <x:v>GYMSHARK</x:v>
      </x:c>
      <x:c r="C13" s="20" t="str">
        <x:v>Crew Socks 6pk</x:v>
      </x:c>
      <x:c r="D13" s="20" t="str">
        <x:v>ACCESORIOS / MEDIAS</x:v>
      </x:c>
      <x:c r="E13" s="20" t="str">
        <x:v>White/Light Grey Core Marl/Black</x:v>
      </x:c>
      <x:c r="F13" s="20" t="str">
        <x:v>M</x:v>
      </x:c>
      <x:c r="G13" s="22" t="n">
        <x:v>2</x:v>
      </x:c>
      <x:c r="H13" s="24" t="n">
        <x:v>39.6</x:v>
      </x:c>
      <x:c r="I13" s="24" t="n">
        <x:f>IF(G13&gt;0,H13/G13,0)</x:f>
        <x:v>19.8</x:v>
      </x:c>
      <x:c r="J13" s="24" t="n">
        <x:f>G13*I13</x:f>
        <x:v>39.6</x:v>
      </x:c>
      <x:c r="K13" s="20" t="str">
        <x:v>EN_TRANSITO</x:v>
      </x:c>
      <x:c r="L13" s="20" t="str">
        <x:v>PENDIENTE</x:v>
      </x:c>
      <x:c r="M13" s="20" t="str">
        <x:v>NO</x:v>
      </x:c>
      <x:c r="N13" s="22" t="n">
        <x:v>0</x:v>
      </x:c>
      <x:c r="O13" s="20" t="str">
        <x:v>IMG02</x:v>
      </x:c>
      <x:c r="P13" s="20" t="str">
        <x:v>Precio mostrado con Qty 2; unitario estimado = precio/qty.</x:v>
      </x:c>
      <x:c r="Q13" s="20" t="str">
        <x:f>C13&amp;" | "&amp;E13&amp;" | "&amp;F13</x:f>
        <x:v>Crew Socks 6pk | White/Light Grey Core Marl/Black | M</x:v>
      </x:c>
    </x:row>
    <x:row r="14">
      <x:c r="A14" s="20" t="n">
        <x:v>12</x:v>
      </x:c>
      <x:c r="B14" s="20" t="str">
        <x:v>GYMSHARK</x:v>
      </x:c>
      <x:c r="C14" s="20" t="str">
        <x:v>Power Washed Crew</x:v>
      </x:c>
      <x:c r="D14" s="20" t="str">
        <x:v>SWEATSHIRTS / CREW</x:v>
      </x:c>
      <x:c r="E14" s="20" t="str">
        <x:v>Ecru Brown/Acid Wash Small Ball</x:v>
      </x:c>
      <x:c r="F14" s="20" t="str">
        <x:v>XS</x:v>
      </x:c>
      <x:c r="G14" s="22" t="n">
        <x:v>1</x:v>
      </x:c>
      <x:c r="H14" s="24" t="n">
        <x:v>16.8</x:v>
      </x:c>
      <x:c r="I14" s="24" t="n">
        <x:f>IF(G14&gt;0,H14/G14,0)</x:f>
        <x:v>16.8</x:v>
      </x:c>
      <x:c r="J14" s="24" t="n">
        <x:f>G14*I14</x:f>
        <x:v>16.8</x:v>
      </x:c>
      <x:c r="K14" s="20" t="str">
        <x:v>EN_TRANSITO</x:v>
      </x:c>
      <x:c r="L14" s="20" t="str">
        <x:v>PENDIENTE</x:v>
      </x:c>
      <x:c r="M14" s="20" t="str">
        <x:v>NO</x:v>
      </x:c>
      <x:c r="N14" s="22" t="n">
        <x:v>0</x:v>
      </x:c>
      <x:c r="O14" s="20" t="str">
        <x:v>IMG02</x:v>
      </x:c>
      <x:c r="P14" s="20" t="str"/>
      <x:c r="Q14" s="20" t="str">
        <x:f>C14&amp;" | "&amp;E14&amp;" | "&amp;F14</x:f>
        <x:v>Power Washed Crew | Ecru Brown/Acid Wash Small Ball | XS</x:v>
      </x:c>
    </x:row>
    <x:row r="15">
      <x:c r="A15" s="20" t="n">
        <x:v>13</x:v>
      </x:c>
      <x:c r="B15" s="20" t="str">
        <x:v>GYMSHARK</x:v>
      </x:c>
      <x:c r="C15" s="20" t="str">
        <x:v>Power Washed Crew</x:v>
      </x:c>
      <x:c r="D15" s="20" t="str">
        <x:v>SWEATSHIRTS / CREW</x:v>
      </x:c>
      <x:c r="E15" s="20" t="str">
        <x:v>Ecru Brown/Acid Wash Small Ball</x:v>
      </x:c>
      <x:c r="F15" s="20" t="str">
        <x:v>S</x:v>
      </x:c>
      <x:c r="G15" s="22" t="n">
        <x:v>1</x:v>
      </x:c>
      <x:c r="H15" s="24" t="n">
        <x:v>16.8</x:v>
      </x:c>
      <x:c r="I15" s="24" t="n">
        <x:f>IF(G15&gt;0,H15/G15,0)</x:f>
        <x:v>16.8</x:v>
      </x:c>
      <x:c r="J15" s="24" t="n">
        <x:f>G15*I15</x:f>
        <x:v>16.8</x:v>
      </x:c>
      <x:c r="K15" s="20" t="str">
        <x:v>EN_TRANSITO</x:v>
      </x:c>
      <x:c r="L15" s="20" t="str">
        <x:v>PENDIENTE</x:v>
      </x:c>
      <x:c r="M15" s="20" t="str">
        <x:v>NO</x:v>
      </x:c>
      <x:c r="N15" s="22" t="n">
        <x:v>0</x:v>
      </x:c>
      <x:c r="O15" s="20" t="str">
        <x:v>IMG02</x:v>
      </x:c>
      <x:c r="P15" s="20" t="str"/>
      <x:c r="Q15" s="20" t="str">
        <x:f>C15&amp;" | "&amp;E15&amp;" | "&amp;F15</x:f>
        <x:v>Power Washed Crew | Ecru Brown/Acid Wash Small Ball | S</x:v>
      </x:c>
    </x:row>
    <x:row r="16">
      <x:c r="A16" s="20" t="n">
        <x:v>14</x:v>
      </x:c>
      <x:c r="B16" s="20" t="str">
        <x:v>GYMSHARK</x:v>
      </x:c>
      <x:c r="C16" s="20" t="str">
        <x:v>Power Washed Crew</x:v>
      </x:c>
      <x:c r="D16" s="20" t="str">
        <x:v>SWEATSHIRTS / CREW</x:v>
      </x:c>
      <x:c r="E16" s="20" t="str">
        <x:v>Ecru Brown/Acid Wash Small Ball</x:v>
      </x:c>
      <x:c r="F16" s="20" t="str">
        <x:v>M</x:v>
      </x:c>
      <x:c r="G16" s="22" t="n">
        <x:v>1</x:v>
      </x:c>
      <x:c r="H16" s="24" t="n">
        <x:v>16.8</x:v>
      </x:c>
      <x:c r="I16" s="24" t="n">
        <x:f>IF(G16&gt;0,H16/G16,0)</x:f>
        <x:v>16.8</x:v>
      </x:c>
      <x:c r="J16" s="24" t="n">
        <x:f>G16*I16</x:f>
        <x:v>16.8</x:v>
      </x:c>
      <x:c r="K16" s="20" t="str">
        <x:v>EN_TRANSITO</x:v>
      </x:c>
      <x:c r="L16" s="20" t="str">
        <x:v>PENDIENTE</x:v>
      </x:c>
      <x:c r="M16" s="20" t="str">
        <x:v>NO</x:v>
      </x:c>
      <x:c r="N16" s="22" t="n">
        <x:v>0</x:v>
      </x:c>
      <x:c r="O16" s="20" t="str">
        <x:v>IMG02</x:v>
      </x:c>
      <x:c r="P16" s="20" t="str">
        <x:v>También aparece al inicio de IMG03; se evitó duplicarlo.</x:v>
      </x:c>
      <x:c r="Q16" s="20" t="str">
        <x:f>C16&amp;" | "&amp;E16&amp;" | "&amp;F16</x:f>
        <x:v>Power Washed Crew | Ecru Brown/Acid Wash Small Ball | M</x:v>
      </x:c>
    </x:row>
    <x:row r="17">
      <x:c r="A17" s="20" t="n">
        <x:v>15</x:v>
      </x:c>
      <x:c r="B17" s="20" t="str">
        <x:v>GYMSHARK</x:v>
      </x:c>
      <x:c r="C17" s="20" t="str">
        <x:v>Mesh Oversized T-Shirt</x:v>
      </x:c>
      <x:c r="D17" s="20" t="str">
        <x:v>T-SHIRTS</x:v>
      </x:c>
      <x:c r="E17" s="20" t="str">
        <x:v>Black</x:v>
      </x:c>
      <x:c r="F17" s="20" t="str">
        <x:v>M</x:v>
      </x:c>
      <x:c r="G17" s="22" t="n">
        <x:v>1</x:v>
      </x:c>
      <x:c r="H17" s="24" t="n">
        <x:v>23</x:v>
      </x:c>
      <x:c r="I17" s="24" t="n">
        <x:f>IF(G17&gt;0,H17/G17,0)</x:f>
        <x:v>23</x:v>
      </x:c>
      <x:c r="J17" s="24" t="n">
        <x:f>G17*I17</x:f>
        <x:v>23</x:v>
      </x:c>
      <x:c r="K17" s="20" t="str">
        <x:v>EN_TRANSITO</x:v>
      </x:c>
      <x:c r="L17" s="20" t="str">
        <x:v>PENDIENTE</x:v>
      </x:c>
      <x:c r="M17" s="20" t="str">
        <x:v>NO</x:v>
      </x:c>
      <x:c r="N17" s="22" t="n">
        <x:v>0</x:v>
      </x:c>
      <x:c r="O17" s="20" t="str">
        <x:v>IMG03</x:v>
      </x:c>
      <x:c r="P17" s="20" t="str"/>
      <x:c r="Q17" s="20" t="str">
        <x:f>C17&amp;" | "&amp;E17&amp;" | "&amp;F17</x:f>
        <x:v>Mesh Oversized T-Shirt | Black | M</x:v>
      </x:c>
    </x:row>
    <x:row r="18">
      <x:c r="A18" s="20" t="n">
        <x:v>16</x:v>
      </x:c>
      <x:c r="B18" s="20" t="str">
        <x:v>GYMSHARK</x:v>
      </x:c>
      <x:c r="C18" s="20" t="str">
        <x:v>Legacy Bra</x:v>
      </x:c>
      <x:c r="D18" s="20" t="str">
        <x:v>TOPS / SPORTS BRA</x:v>
      </x:c>
      <x:c r="E18" s="20" t="str">
        <x:v>Classic Blue</x:v>
      </x:c>
      <x:c r="F18" s="20" t="str">
        <x:v>S</x:v>
      </x:c>
      <x:c r="G18" s="22" t="n">
        <x:v>1</x:v>
      </x:c>
      <x:c r="H18" s="24" t="n">
        <x:v>9</x:v>
      </x:c>
      <x:c r="I18" s="24" t="n">
        <x:f>IF(G18&gt;0,H18/G18,0)</x:f>
        <x:v>9</x:v>
      </x:c>
      <x:c r="J18" s="24" t="n">
        <x:f>G18*I18</x:f>
        <x:v>9</x:v>
      </x:c>
      <x:c r="K18" s="20" t="str">
        <x:v>EN_TRANSITO</x:v>
      </x:c>
      <x:c r="L18" s="20" t="str">
        <x:v>PENDIENTE</x:v>
      </x:c>
      <x:c r="M18" s="20" t="str">
        <x:v>NO</x:v>
      </x:c>
      <x:c r="N18" s="22" t="n">
        <x:v>0</x:v>
      </x:c>
      <x:c r="O18" s="20" t="str">
        <x:v>IMG03</x:v>
      </x:c>
      <x:c r="P18" s="20" t="str"/>
      <x:c r="Q18" s="20" t="str">
        <x:f>C18&amp;" | "&amp;E18&amp;" | "&amp;F18</x:f>
        <x:v>Legacy Bra | Classic Blue | S</x:v>
      </x:c>
    </x:row>
    <x:row r="19">
      <x:c r="A19" s="20" t="n">
        <x:v>17</x:v>
      </x:c>
      <x:c r="B19" s="20" t="str">
        <x:v>GYMSHARK</x:v>
      </x:c>
      <x:c r="C19" s="20" t="str">
        <x:v>Legacy Logo Leggings</x:v>
      </x:c>
      <x:c r="D19" s="20" t="str">
        <x:v>LEGGINGS</x:v>
      </x:c>
      <x:c r="E19" s="20" t="str">
        <x:v>Success Blue</x:v>
      </x:c>
      <x:c r="F19" s="20" t="str">
        <x:v>S</x:v>
      </x:c>
      <x:c r="G19" s="22" t="n">
        <x:v>1</x:v>
      </x:c>
      <x:c r="H19" s="24" t="n">
        <x:v>16.2</x:v>
      </x:c>
      <x:c r="I19" s="24" t="n">
        <x:f>IF(G19&gt;0,H19/G19,0)</x:f>
        <x:v>16.2</x:v>
      </x:c>
      <x:c r="J19" s="24" t="n">
        <x:f>G19*I19</x:f>
        <x:v>16.2</x:v>
      </x:c>
      <x:c r="K19" s="20" t="str">
        <x:v>EN_TRANSITO</x:v>
      </x:c>
      <x:c r="L19" s="20" t="str">
        <x:v>PENDIENTE</x:v>
      </x:c>
      <x:c r="M19" s="20" t="str">
        <x:v>NO</x:v>
      </x:c>
      <x:c r="N19" s="22" t="n">
        <x:v>0</x:v>
      </x:c>
      <x:c r="O19" s="20" t="str">
        <x:v>IMG03</x:v>
      </x:c>
      <x:c r="P19" s="20" t="str"/>
      <x:c r="Q19" s="20" t="str">
        <x:f>C19&amp;" | "&amp;E19&amp;" | "&amp;F19</x:f>
        <x:v>Legacy Logo Leggings | Success Blue | S</x:v>
      </x:c>
    </x:row>
    <x:row r="20">
      <x:c r="A20" s="20" t="n">
        <x:v>18</x:v>
      </x:c>
      <x:c r="B20" s="20" t="str">
        <x:v>GYMSHARK</x:v>
      </x:c>
      <x:c r="C20" s="20" t="str">
        <x:v>Legacy Tall Leggings</x:v>
      </x:c>
      <x:c r="D20" s="20" t="str">
        <x:v>LEGGINGS</x:v>
      </x:c>
      <x:c r="E20" s="20" t="str">
        <x:v>Black</x:v>
      </x:c>
      <x:c r="F20" s="20" t="str">
        <x:v>S</x:v>
      </x:c>
      <x:c r="G20" s="22" t="n">
        <x:v>1</x:v>
      </x:c>
      <x:c r="H20" s="24" t="n">
        <x:v>16.2</x:v>
      </x:c>
      <x:c r="I20" s="24" t="n">
        <x:f>IF(G20&gt;0,H20/G20,0)</x:f>
        <x:v>16.2</x:v>
      </x:c>
      <x:c r="J20" s="24" t="n">
        <x:f>G20*I20</x:f>
        <x:v>16.2</x:v>
      </x:c>
      <x:c r="K20" s="20" t="str">
        <x:v>EN_TRANSITO</x:v>
      </x:c>
      <x:c r="L20" s="20" t="str">
        <x:v>PENDIENTE</x:v>
      </x:c>
      <x:c r="M20" s="20" t="str">
        <x:v>NO</x:v>
      </x:c>
      <x:c r="N20" s="22" t="n">
        <x:v>0</x:v>
      </x:c>
      <x:c r="O20" s="20" t="str">
        <x:v>IMG03</x:v>
      </x:c>
      <x:c r="P20" s="20" t="str"/>
      <x:c r="Q20" s="20" t="str">
        <x:f>C20&amp;" | "&amp;E20&amp;" | "&amp;F20</x:f>
        <x:v>Legacy Tall Leggings | Black | S</x:v>
      </x:c>
    </x:row>
    <x:row r="21">
      <x:c r="A21" s="20" t="n">
        <x:v>19</x:v>
      </x:c>
      <x:c r="B21" s="20" t="str">
        <x:v>GYMSHARK</x:v>
      </x:c>
      <x:c r="C21" s="20" t="str">
        <x:v>Adapt Fleck Seamless Leggings</x:v>
      </x:c>
      <x:c r="D21" s="20" t="str">
        <x:v>LEGGINGS</x:v>
      </x:c>
      <x:c r="E21" s="20" t="str">
        <x:v>Weighted Purple/Metal Purple</x:v>
      </x:c>
      <x:c r="F21" s="20" t="str">
        <x:v>S</x:v>
      </x:c>
      <x:c r="G21" s="22" t="n">
        <x:v>1</x:v>
      </x:c>
      <x:c r="H21" s="24" t="n">
        <x:v>18</x:v>
      </x:c>
      <x:c r="I21" s="24" t="n">
        <x:f>IF(G21&gt;0,H21/G21,0)</x:f>
        <x:v>18</x:v>
      </x:c>
      <x:c r="J21" s="24" t="n">
        <x:f>G21*I21</x:f>
        <x:v>18</x:v>
      </x:c>
      <x:c r="K21" s="20" t="str">
        <x:v>EN_TRANSITO</x:v>
      </x:c>
      <x:c r="L21" s="20" t="str">
        <x:v>PENDIENTE</x:v>
      </x:c>
      <x:c r="M21" s="20" t="str">
        <x:v>NO</x:v>
      </x:c>
      <x:c r="N21" s="22" t="n">
        <x:v>0</x:v>
      </x:c>
      <x:c r="O21" s="20" t="str">
        <x:v>IMG04</x:v>
      </x:c>
      <x:c r="P21" s="20" t="str"/>
      <x:c r="Q21" s="20" t="str">
        <x:f>C21&amp;" | "&amp;E21&amp;" | "&amp;F21</x:f>
        <x:v>Adapt Fleck Seamless Leggings | Weighted Purple/Metal Purple | S</x:v>
      </x:c>
    </x:row>
    <x:row r="22">
      <x:c r="A22" s="20" t="n">
        <x:v>20</x:v>
      </x:c>
      <x:c r="B22" s="20" t="str">
        <x:v>GYMSHARK</x:v>
      </x:c>
      <x:c r="C22" s="20" t="str">
        <x:v>Vital Regular Leggings</x:v>
      </x:c>
      <x:c r="D22" s="20" t="str">
        <x:v>LEGGINGS</x:v>
      </x:c>
      <x:c r="E22" s="20" t="str">
        <x:v>Celeste Blue/Marl</x:v>
      </x:c>
      <x:c r="F22" s="20" t="str">
        <x:v>S</x:v>
      </x:c>
      <x:c r="G22" s="22" t="n">
        <x:v>1</x:v>
      </x:c>
      <x:c r="H22" s="24" t="n">
        <x:v>16.2</x:v>
      </x:c>
      <x:c r="I22" s="24" t="n">
        <x:f>IF(G22&gt;0,H22/G22,0)</x:f>
        <x:v>16.2</x:v>
      </x:c>
      <x:c r="J22" s="24" t="n">
        <x:f>G22*I22</x:f>
        <x:v>16.2</x:v>
      </x:c>
      <x:c r="K22" s="20" t="str">
        <x:v>EN_TRANSITO</x:v>
      </x:c>
      <x:c r="L22" s="20" t="str">
        <x:v>PENDIENTE</x:v>
      </x:c>
      <x:c r="M22" s="20" t="str">
        <x:v>NO</x:v>
      </x:c>
      <x:c r="N22" s="22" t="n">
        <x:v>0</x:v>
      </x:c>
      <x:c r="O22" s="20" t="str">
        <x:v>IMG04</x:v>
      </x:c>
      <x:c r="P22" s="20" t="str"/>
      <x:c r="Q22" s="20" t="str">
        <x:f>C22&amp;" | "&amp;E22&amp;" | "&amp;F22</x:f>
        <x:v>Vital Regular Leggings | Celeste Blue/Marl | S</x:v>
      </x:c>
    </x:row>
    <x:row r="23">
      <x:c r="A23" s="20" t="n">
        <x:v>21</x:v>
      </x:c>
      <x:c r="B23" s="20" t="str">
        <x:v>GYMSHARK</x:v>
      </x:c>
      <x:c r="C23" s="20" t="str">
        <x:v>Vital Regular Leggings</x:v>
      </x:c>
      <x:c r="D23" s="20" t="str">
        <x:v>LEGGINGS</x:v>
      </x:c>
      <x:c r="E23" s="20" t="str">
        <x:v>Celeste Blue/Marl</x:v>
      </x:c>
      <x:c r="F23" s="20" t="str">
        <x:v>M</x:v>
      </x:c>
      <x:c r="G23" s="22" t="n">
        <x:v>1</x:v>
      </x:c>
      <x:c r="H23" s="24" t="n">
        <x:v>16.2</x:v>
      </x:c>
      <x:c r="I23" s="24" t="n">
        <x:f>IF(G23&gt;0,H23/G23,0)</x:f>
        <x:v>16.2</x:v>
      </x:c>
      <x:c r="J23" s="24" t="n">
        <x:f>G23*I23</x:f>
        <x:v>16.2</x:v>
      </x:c>
      <x:c r="K23" s="20" t="str">
        <x:v>EN_TRANSITO</x:v>
      </x:c>
      <x:c r="L23" s="20" t="str">
        <x:v>PENDIENTE</x:v>
      </x:c>
      <x:c r="M23" s="20" t="str">
        <x:v>NO</x:v>
      </x:c>
      <x:c r="N23" s="22" t="n">
        <x:v>0</x:v>
      </x:c>
      <x:c r="O23" s="20" t="str">
        <x:v>IMG04</x:v>
      </x:c>
      <x:c r="P23" s="20" t="str"/>
      <x:c r="Q23" s="20" t="str">
        <x:f>C23&amp;" | "&amp;E23&amp;" | "&amp;F23</x:f>
        <x:v>Vital Regular Leggings | Celeste Blue/Marl | M</x:v>
      </x:c>
    </x:row>
    <x:row r="24">
      <x:c r="A24" s="20" t="n">
        <x:v>22</x:v>
      </x:c>
      <x:c r="B24" s="20" t="str">
        <x:v>GYMSHARK</x:v>
      </x:c>
      <x:c r="C24" s="20" t="str">
        <x:v>Legacy Logo Tight Shorts</x:v>
      </x:c>
      <x:c r="D24" s="20" t="str">
        <x:v>SHORTS</x:v>
      </x:c>
      <x:c r="E24" s="20" t="str">
        <x:v>Success Blue</x:v>
      </x:c>
      <x:c r="F24" s="20" t="str">
        <x:v>S</x:v>
      </x:c>
      <x:c r="G24" s="22" t="n">
        <x:v>1</x:v>
      </x:c>
      <x:c r="H24" s="24" t="n">
        <x:v>12</x:v>
      </x:c>
      <x:c r="I24" s="24" t="n">
        <x:f>IF(G24&gt;0,H24/G24,0)</x:f>
        <x:v>12</x:v>
      </x:c>
      <x:c r="J24" s="24" t="n">
        <x:f>G24*I24</x:f>
        <x:v>12</x:v>
      </x:c>
      <x:c r="K24" s="20" t="str">
        <x:v>EN_TRANSITO</x:v>
      </x:c>
      <x:c r="L24" s="20" t="str">
        <x:v>PENDIENTE</x:v>
      </x:c>
      <x:c r="M24" s="20" t="str">
        <x:v>NO</x:v>
      </x:c>
      <x:c r="N24" s="22" t="n">
        <x:v>0</x:v>
      </x:c>
      <x:c r="O24" s="20" t="str">
        <x:v>IMG04</x:v>
      </x:c>
      <x:c r="P24" s="20" t="str"/>
      <x:c r="Q24" s="20" t="str">
        <x:f>C24&amp;" | "&amp;E24&amp;" | "&amp;F24</x:f>
        <x:v>Legacy Logo Tight Shorts | Success Blue | S</x:v>
      </x:c>
    </x:row>
    <x:row r="25">
      <x:c r="A25" s="20" t="n">
        <x:v>23</x:v>
      </x:c>
      <x:c r="B25" s="20" t="str">
        <x:v>GYMSHARK</x:v>
      </x:c>
      <x:c r="C25" s="20" t="str">
        <x:v>Contour Stitch Tank with Shelf</x:v>
      </x:c>
      <x:c r="D25" s="20" t="str">
        <x:v>TOPS / TANK</x:v>
      </x:c>
      <x:c r="E25" s="20" t="str">
        <x:v>Heavy Blue</x:v>
      </x:c>
      <x:c r="F25" s="20" t="str">
        <x:v>S</x:v>
      </x:c>
      <x:c r="G25" s="22" t="n">
        <x:v>1</x:v>
      </x:c>
      <x:c r="H25" s="24" t="n">
        <x:v>11.4</x:v>
      </x:c>
      <x:c r="I25" s="24" t="n">
        <x:f>IF(G25&gt;0,H25/G25,0)</x:f>
        <x:v>11.4</x:v>
      </x:c>
      <x:c r="J25" s="24" t="n">
        <x:f>G25*I25</x:f>
        <x:v>11.4</x:v>
      </x:c>
      <x:c r="K25" s="20" t="str">
        <x:v>EN_TRANSITO</x:v>
      </x:c>
      <x:c r="L25" s="20" t="str">
        <x:v>PENDIENTE</x:v>
      </x:c>
      <x:c r="M25" s="20" t="str">
        <x:v>NO</x:v>
      </x:c>
      <x:c r="N25" s="22" t="n">
        <x:v>0</x:v>
      </x:c>
      <x:c r="O25" s="20" t="str">
        <x:v>IMG04</x:v>
      </x:c>
      <x:c r="P25" s="20" t="str"/>
      <x:c r="Q25" s="20" t="str">
        <x:f>C25&amp;" | "&amp;E25&amp;" | "&amp;F25</x:f>
        <x:v>Contour Stitch Tank with Shelf | Heavy Blue | S</x:v>
      </x:c>
    </x:row>
    <x:row r="26">
      <x:c r="A26" s="20" t="n">
        <x:v>24</x:v>
      </x:c>
      <x:c r="B26" s="20" t="str">
        <x:v>GYMSHARK</x:v>
      </x:c>
      <x:c r="C26" s="20" t="str">
        <x:v>Contour Stitch Tank with Shelf</x:v>
      </x:c>
      <x:c r="D26" s="20" t="str">
        <x:v>TOPS / TANK</x:v>
      </x:c>
      <x:c r="E26" s="20" t="str">
        <x:v>Heavy Blue</x:v>
      </x:c>
      <x:c r="F26" s="20" t="str">
        <x:v>M</x:v>
      </x:c>
      <x:c r="G26" s="22" t="n">
        <x:v>1</x:v>
      </x:c>
      <x:c r="H26" s="24" t="n">
        <x:v>11.4</x:v>
      </x:c>
      <x:c r="I26" s="24" t="n">
        <x:f>IF(G26&gt;0,H26/G26,0)</x:f>
        <x:v>11.4</x:v>
      </x:c>
      <x:c r="J26" s="24" t="n">
        <x:f>G26*I26</x:f>
        <x:v>11.4</x:v>
      </x:c>
      <x:c r="K26" s="20" t="str">
        <x:v>EN_TRANSITO</x:v>
      </x:c>
      <x:c r="L26" s="20" t="str">
        <x:v>PENDIENTE</x:v>
      </x:c>
      <x:c r="M26" s="20" t="str">
        <x:v>NO</x:v>
      </x:c>
      <x:c r="N26" s="22" t="n">
        <x:v>0</x:v>
      </x:c>
      <x:c r="O26" s="20" t="str">
        <x:v>IMG04</x:v>
      </x:c>
      <x:c r="P26" s="20" t="str"/>
      <x:c r="Q26" s="20" t="str">
        <x:f>C26&amp;" | "&amp;E26&amp;" | "&amp;F26</x:f>
        <x:v>Contour Stitch Tank with Shelf | Heavy Blue | M</x:v>
      </x:c>
    </x:row>
    <x:row r="27">
      <x:c r="A27" s="20" t="n">
        <x:v>25</x:v>
      </x:c>
      <x:c r="B27" s="20" t="str">
        <x:v>GYMSHARK</x:v>
      </x:c>
      <x:c r="C27" s="20" t="str">
        <x:v>Woven Shorts</x:v>
      </x:c>
      <x:c r="D27" s="20" t="str">
        <x:v>SHORTS</x:v>
      </x:c>
      <x:c r="E27" s="20" t="str">
        <x:v>Indigo Purple</x:v>
      </x:c>
      <x:c r="F27" s="20" t="str">
        <x:v>S</x:v>
      </x:c>
      <x:c r="G27" s="22" t="n">
        <x:v>1</x:v>
      </x:c>
      <x:c r="H27" s="24" t="n">
        <x:v>13.6</x:v>
      </x:c>
      <x:c r="I27" s="24" t="n">
        <x:f>IF(G27&gt;0,H27/G27,0)</x:f>
        <x:v>13.6</x:v>
      </x:c>
      <x:c r="J27" s="24" t="n">
        <x:f>G27*I27</x:f>
        <x:v>13.6</x:v>
      </x:c>
      <x:c r="K27" s="20" t="str">
        <x:v>EN_TRANSITO</x:v>
      </x:c>
      <x:c r="L27" s="20" t="str">
        <x:v>PENDIENTE</x:v>
      </x:c>
      <x:c r="M27" s="20" t="str">
        <x:v>NO</x:v>
      </x:c>
      <x:c r="N27" s="22" t="n">
        <x:v>0</x:v>
      </x:c>
      <x:c r="O27" s="20" t="str">
        <x:v>IMG04</x:v>
      </x:c>
      <x:c r="P27" s="20" t="str"/>
      <x:c r="Q27" s="20" t="str">
        <x:f>C27&amp;" | "&amp;E27&amp;" | "&amp;F27</x:f>
        <x:v>Woven Shorts | Indigo Purple | S</x:v>
      </x:c>
    </x:row>
    <x:row r="28">
      <x:c r="A28" s="20" t="n">
        <x:v>26</x:v>
      </x:c>
      <x:c r="B28" s="20" t="str">
        <x:v>GYMSHARK</x:v>
      </x:c>
      <x:c r="C28" s="20" t="str">
        <x:v>Woven Shorts</x:v>
      </x:c>
      <x:c r="D28" s="20" t="str">
        <x:v>SHORTS</x:v>
      </x:c>
      <x:c r="E28" s="20" t="str">
        <x:v>Indigo Purple</x:v>
      </x:c>
      <x:c r="F28" s="20" t="str">
        <x:v>M</x:v>
      </x:c>
      <x:c r="G28" s="22" t="n">
        <x:v>1</x:v>
      </x:c>
      <x:c r="H28" s="24" t="n">
        <x:v>13.6</x:v>
      </x:c>
      <x:c r="I28" s="24" t="n">
        <x:f>IF(G28&gt;0,H28/G28,0)</x:f>
        <x:v>13.6</x:v>
      </x:c>
      <x:c r="J28" s="24" t="n">
        <x:f>G28*I28</x:f>
        <x:v>13.6</x:v>
      </x:c>
      <x:c r="K28" s="20" t="str">
        <x:v>EN_TRANSITO</x:v>
      </x:c>
      <x:c r="L28" s="20" t="str">
        <x:v>PENDIENTE</x:v>
      </x:c>
      <x:c r="M28" s="20" t="str">
        <x:v>NO</x:v>
      </x:c>
      <x:c r="N28" s="22" t="n">
        <x:v>0</x:v>
      </x:c>
      <x:c r="O28" s="20" t="str">
        <x:v>IMG05</x:v>
      </x:c>
      <x:c r="P28" s="20" t="str"/>
      <x:c r="Q28" s="20" t="str">
        <x:f>C28&amp;" | "&amp;E28&amp;" | "&amp;F28</x:f>
        <x:v>Woven Shorts | Indigo Purple | M</x:v>
      </x:c>
    </x:row>
    <x:row r="29">
      <x:c r="A29" s="20" t="n">
        <x:v>27</x:v>
      </x:c>
      <x:c r="B29" s="20" t="str">
        <x:v>GYMSHARK</x:v>
      </x:c>
      <x:c r="C29" s="20" t="str">
        <x:v>Woven Shorts</x:v>
      </x:c>
      <x:c r="D29" s="20" t="str">
        <x:v>SHORTS</x:v>
      </x:c>
      <x:c r="E29" s="20" t="str">
        <x:v>Electric Pink</x:v>
      </x:c>
      <x:c r="F29" s="20" t="str">
        <x:v>S</x:v>
      </x:c>
      <x:c r="G29" s="22" t="n">
        <x:v>1</x:v>
      </x:c>
      <x:c r="H29" s="24" t="n">
        <x:v>13.6</x:v>
      </x:c>
      <x:c r="I29" s="24" t="n">
        <x:f>IF(G29&gt;0,H29/G29,0)</x:f>
        <x:v>13.6</x:v>
      </x:c>
      <x:c r="J29" s="24" t="n">
        <x:f>G29*I29</x:f>
        <x:v>13.6</x:v>
      </x:c>
      <x:c r="K29" s="20" t="str">
        <x:v>EN_TRANSITO</x:v>
      </x:c>
      <x:c r="L29" s="20" t="str">
        <x:v>PENDIENTE</x:v>
      </x:c>
      <x:c r="M29" s="20" t="str">
        <x:v>NO</x:v>
      </x:c>
      <x:c r="N29" s="22" t="n">
        <x:v>0</x:v>
      </x:c>
      <x:c r="O29" s="20" t="str">
        <x:v>IMG05</x:v>
      </x:c>
      <x:c r="P29" s="20" t="str"/>
      <x:c r="Q29" s="20" t="str">
        <x:f>C29&amp;" | "&amp;E29&amp;" | "&amp;F29</x:f>
        <x:v>Woven Shorts | Electric Pink | S</x:v>
      </x:c>
    </x:row>
    <x:row r="30">
      <x:c r="A30" s="20" t="n">
        <x:v>28</x:v>
      </x:c>
      <x:c r="B30" s="20" t="str">
        <x:v>GYMSHARK</x:v>
      </x:c>
      <x:c r="C30" s="20" t="str">
        <x:v>Woven Shorts</x:v>
      </x:c>
      <x:c r="D30" s="20" t="str">
        <x:v>SHORTS</x:v>
      </x:c>
      <x:c r="E30" s="20" t="str">
        <x:v>Electric Pink</x:v>
      </x:c>
      <x:c r="F30" s="20" t="str">
        <x:v>M</x:v>
      </x:c>
      <x:c r="G30" s="22" t="n">
        <x:v>1</x:v>
      </x:c>
      <x:c r="H30" s="24" t="n">
        <x:v>13.6</x:v>
      </x:c>
      <x:c r="I30" s="24" t="n">
        <x:f>IF(G30&gt;0,H30/G30,0)</x:f>
        <x:v>13.6</x:v>
      </x:c>
      <x:c r="J30" s="24" t="n">
        <x:f>G30*I30</x:f>
        <x:v>13.6</x:v>
      </x:c>
      <x:c r="K30" s="20" t="str">
        <x:v>EN_TRANSITO</x:v>
      </x:c>
      <x:c r="L30" s="20" t="str">
        <x:v>PENDIENTE</x:v>
      </x:c>
      <x:c r="M30" s="20" t="str">
        <x:v>NO</x:v>
      </x:c>
      <x:c r="N30" s="22" t="n">
        <x:v>0</x:v>
      </x:c>
      <x:c r="O30" s="20" t="str">
        <x:v>IMG05</x:v>
      </x:c>
      <x:c r="P30" s="20" t="str"/>
      <x:c r="Q30" s="20" t="str">
        <x:f>C30&amp;" | "&amp;E30&amp;" | "&amp;F30</x:f>
        <x:v>Woven Shorts | Electric Pink | M</x:v>
      </x:c>
    </x:row>
    <x:row r="31">
      <x:c r="A31" s="20" t="n">
        <x:v>29</x:v>
      </x:c>
      <x:c r="B31" s="20" t="str">
        <x:v>GYMSHARK</x:v>
      </x:c>
      <x:c r="C31" s="20" t="str">
        <x:v>Lifting Dipped Waistband All-In-One</x:v>
      </x:c>
      <x:c r="D31" s="20" t="str">
        <x:v>ENTERIZOS / ALL-IN-ONE</x:v>
      </x:c>
      <x:c r="E31" s="20" t="str">
        <x:v>Iron Blue</x:v>
      </x:c>
      <x:c r="F31" s="20" t="str">
        <x:v>XS</x:v>
      </x:c>
      <x:c r="G31" s="22" t="n">
        <x:v>1</x:v>
      </x:c>
      <x:c r="H31" s="24" t="n">
        <x:v>19.2</x:v>
      </x:c>
      <x:c r="I31" s="24" t="n">
        <x:f>IF(G31&gt;0,H31/G31,0)</x:f>
        <x:v>19.2</x:v>
      </x:c>
      <x:c r="J31" s="24" t="n">
        <x:f>G31*I31</x:f>
        <x:v>19.2</x:v>
      </x:c>
      <x:c r="K31" s="20" t="str">
        <x:v>EN_TRANSITO</x:v>
      </x:c>
      <x:c r="L31" s="20" t="str">
        <x:v>PENDIENTE</x:v>
      </x:c>
      <x:c r="M31" s="20" t="str">
        <x:v>NO</x:v>
      </x:c>
      <x:c r="N31" s="22" t="n">
        <x:v>0</x:v>
      </x:c>
      <x:c r="O31" s="20" t="str">
        <x:v>IMG05</x:v>
      </x:c>
      <x:c r="P31" s="20" t="str"/>
      <x:c r="Q31" s="20" t="str">
        <x:f>C31&amp;" | "&amp;E31&amp;" | "&amp;F31</x:f>
        <x:v>Lifting Dipped Waistband All-In-One | Iron Blue | XS</x:v>
      </x:c>
    </x:row>
    <x:row r="32">
      <x:c r="A32" s="20" t="n">
        <x:v>30</x:v>
      </x:c>
      <x:c r="B32" s="20" t="str">
        <x:v>GYMSHARK</x:v>
      </x:c>
      <x:c r="C32" s="20" t="str">
        <x:v>Lifting Dipped Waistband All-In-One</x:v>
      </x:c>
      <x:c r="D32" s="20" t="str">
        <x:v>ENTERIZOS / ALL-IN-ONE</x:v>
      </x:c>
      <x:c r="E32" s="20" t="str">
        <x:v>Iron Blue</x:v>
      </x:c>
      <x:c r="F32" s="20" t="str">
        <x:v>S</x:v>
      </x:c>
      <x:c r="G32" s="22" t="n">
        <x:v>1</x:v>
      </x:c>
      <x:c r="H32" s="24" t="n">
        <x:v>19.2</x:v>
      </x:c>
      <x:c r="I32" s="24" t="n">
        <x:f>IF(G32&gt;0,H32/G32,0)</x:f>
        <x:v>19.2</x:v>
      </x:c>
      <x:c r="J32" s="24" t="n">
        <x:f>G32*I32</x:f>
        <x:v>19.2</x:v>
      </x:c>
      <x:c r="K32" s="20" t="str">
        <x:v>EN_TRANSITO</x:v>
      </x:c>
      <x:c r="L32" s="20" t="str">
        <x:v>PENDIENTE</x:v>
      </x:c>
      <x:c r="M32" s="20" t="str">
        <x:v>NO</x:v>
      </x:c>
      <x:c r="N32" s="22" t="n">
        <x:v>0</x:v>
      </x:c>
      <x:c r="O32" s="20" t="str">
        <x:v>IMG05</x:v>
      </x:c>
      <x:c r="P32" s="20" t="str"/>
      <x:c r="Q32" s="20" t="str">
        <x:f>C32&amp;" | "&amp;E32&amp;" | "&amp;F32</x:f>
        <x:v>Lifting Dipped Waistband All-In-One | Iron Blue | S</x:v>
      </x:c>
    </x:row>
    <x:row r="33">
      <x:c r="A33" s="20" t="n">
        <x:v>31</x:v>
      </x:c>
      <x:c r="B33" s="20" t="str">
        <x:v>GYMSHARK</x:v>
      </x:c>
      <x:c r="C33" s="20" t="str">
        <x:v>Lifting Dipped Waistband All-In-One</x:v>
      </x:c>
      <x:c r="D33" s="20" t="str">
        <x:v>ENTERIZOS / ALL-IN-ONE</x:v>
      </x:c>
      <x:c r="E33" s="20" t="str">
        <x:v>Iron Blue</x:v>
      </x:c>
      <x:c r="F33" s="20" t="str">
        <x:v>M</x:v>
      </x:c>
      <x:c r="G33" s="22" t="n">
        <x:v>1</x:v>
      </x:c>
      <x:c r="H33" s="24" t="n">
        <x:v>19.2</x:v>
      </x:c>
      <x:c r="I33" s="24" t="n">
        <x:f>IF(G33&gt;0,H33/G33,0)</x:f>
        <x:v>19.2</x:v>
      </x:c>
      <x:c r="J33" s="24" t="n">
        <x:f>G33*I33</x:f>
        <x:v>19.2</x:v>
      </x:c>
      <x:c r="K33" s="20" t="str">
        <x:v>EN_TRANSITO</x:v>
      </x:c>
      <x:c r="L33" s="20" t="str">
        <x:v>PENDIENTE</x:v>
      </x:c>
      <x:c r="M33" s="20" t="str">
        <x:v>NO</x:v>
      </x:c>
      <x:c r="N33" s="22" t="n">
        <x:v>0</x:v>
      </x:c>
      <x:c r="O33" s="20" t="str">
        <x:v>IMG05</x:v>
      </x:c>
      <x:c r="P33" s="20" t="str"/>
      <x:c r="Q33" s="20" t="str">
        <x:f>C33&amp;" | "&amp;E33&amp;" | "&amp;F33</x:f>
        <x:v>Lifting Dipped Waistband All-In-One | Iron Blue | M</x:v>
      </x:c>
    </x:row>
    <x:row r="34">
      <x:c r="A34" s="20" t="n">
        <x:v>32</x:v>
      </x:c>
      <x:c r="B34" s="20" t="str">
        <x:v>GYMSHARK</x:v>
      </x:c>
      <x:c r="C34" s="20" t="str">
        <x:v>Whitney Regular Legging</x:v>
      </x:c>
      <x:c r="D34" s="20" t="str">
        <x:v>LEGGINGS</x:v>
      </x:c>
      <x:c r="E34" s="20" t="str">
        <x:v>Classic Green</x:v>
      </x:c>
      <x:c r="F34" s="20" t="str">
        <x:v>S</x:v>
      </x:c>
      <x:c r="G34" s="22" t="n">
        <x:v>1</x:v>
      </x:c>
      <x:c r="H34" s="24" t="n">
        <x:v>15</x:v>
      </x:c>
      <x:c r="I34" s="24" t="n">
        <x:f>IF(G34&gt;0,H34/G34,0)</x:f>
        <x:v>15</x:v>
      </x:c>
      <x:c r="J34" s="24" t="n">
        <x:f>G34*I34</x:f>
        <x:v>15</x:v>
      </x:c>
      <x:c r="K34" s="20" t="str">
        <x:v>EN_TRANSITO</x:v>
      </x:c>
      <x:c r="L34" s="20" t="str">
        <x:v>PENDIENTE</x:v>
      </x:c>
      <x:c r="M34" s="20" t="str">
        <x:v>NO</x:v>
      </x:c>
      <x:c r="N34" s="22" t="n">
        <x:v>0</x:v>
      </x:c>
      <x:c r="O34" s="20" t="str">
        <x:v>IMG05</x:v>
      </x:c>
      <x:c r="P34" s="20" t="str"/>
      <x:c r="Q34" s="20" t="str">
        <x:f>C34&amp;" | "&amp;E34&amp;" | "&amp;F34</x:f>
        <x:v>Whitney Regular Legging | Classic Green | S</x:v>
      </x:c>
    </x:row>
    <x:row r="35">
      <x:c r="A35" s="20" t="n">
        <x:v>33</x:v>
      </x:c>
      <x:c r="B35" s="20" t="str">
        <x:v>GYMSHARK</x:v>
      </x:c>
      <x:c r="C35" s="20" t="str">
        <x:v>Adapt Camo Seamless Leggings</x:v>
      </x:c>
      <x:c r="D35" s="20" t="str">
        <x:v>LEGGINGS</x:v>
      </x:c>
      <x:c r="E35" s="20" t="str">
        <x:v>Asphalt Grey/Black</x:v>
      </x:c>
      <x:c r="F35" s="20" t="str">
        <x:v>XS</x:v>
      </x:c>
      <x:c r="G35" s="22" t="n">
        <x:v>1</x:v>
      </x:c>
      <x:c r="H35" s="24" t="n">
        <x:v>18</x:v>
      </x:c>
      <x:c r="I35" s="24" t="n">
        <x:f>IF(G35&gt;0,H35/G35,0)</x:f>
        <x:v>18</x:v>
      </x:c>
      <x:c r="J35" s="24" t="n">
        <x:f>G35*I35</x:f>
        <x:v>18</x:v>
      </x:c>
      <x:c r="K35" s="20" t="str">
        <x:v>EN_TRANSITO</x:v>
      </x:c>
      <x:c r="L35" s="20" t="str">
        <x:v>PENDIENTE</x:v>
      </x:c>
      <x:c r="M35" s="20" t="str">
        <x:v>NO</x:v>
      </x:c>
      <x:c r="N35" s="22" t="n">
        <x:v>0</x:v>
      </x:c>
      <x:c r="O35" s="20" t="str">
        <x:v>IMG06</x:v>
      </x:c>
      <x:c r="P35" s="20" t="str"/>
      <x:c r="Q35" s="20" t="str">
        <x:f>C35&amp;" | "&amp;E35&amp;" | "&amp;F35</x:f>
        <x:v>Adapt Camo Seamless Leggings | Asphalt Grey/Black | XS</x:v>
      </x:c>
    </x:row>
    <x:row r="36">
      <x:c r="A36" s="20" t="n">
        <x:v>34</x:v>
      </x:c>
      <x:c r="B36" s="20" t="str">
        <x:v>GYMSHARK</x:v>
      </x:c>
      <x:c r="C36" s="20" t="str">
        <x:v>Crossover Leggings</x:v>
      </x:c>
      <x:c r="D36" s="20" t="str">
        <x:v>LEGGINGS</x:v>
      </x:c>
      <x:c r="E36" s="20" t="str">
        <x:v>Plum Brown</x:v>
      </x:c>
      <x:c r="F36" s="20" t="str">
        <x:v>M</x:v>
      </x:c>
      <x:c r="G36" s="22" t="n">
        <x:v>1</x:v>
      </x:c>
      <x:c r="H36" s="24" t="n">
        <x:v>15</x:v>
      </x:c>
      <x:c r="I36" s="24" t="n">
        <x:f>IF(G36&gt;0,H36/G36,0)</x:f>
        <x:v>15</x:v>
      </x:c>
      <x:c r="J36" s="24" t="n">
        <x:f>G36*I36</x:f>
        <x:v>15</x:v>
      </x:c>
      <x:c r="K36" s="20" t="str">
        <x:v>EN_TRANSITO</x:v>
      </x:c>
      <x:c r="L36" s="20" t="str">
        <x:v>PENDIENTE</x:v>
      </x:c>
      <x:c r="M36" s="20" t="str">
        <x:v>NO</x:v>
      </x:c>
      <x:c r="N36" s="22" t="n">
        <x:v>0</x:v>
      </x:c>
      <x:c r="O36" s="20" t="str">
        <x:v>IMG06</x:v>
      </x:c>
      <x:c r="P36" s="20" t="str"/>
      <x:c r="Q36" s="20" t="str">
        <x:f>C36&amp;" | "&amp;E36&amp;" | "&amp;F36</x:f>
        <x:v>Crossover Leggings | Plum Brown | M</x:v>
      </x:c>
    </x:row>
    <x:row r="37">
      <x:c r="A37" s="20" t="n">
        <x:v>35</x:v>
      </x:c>
      <x:c r="B37" s="20" t="str">
        <x:v>GYMSHARK</x:v>
      </x:c>
      <x:c r="C37" s="20" t="str">
        <x:v>Adapt Fleck Seamless Shorts</x:v>
      </x:c>
      <x:c r="D37" s="20" t="str">
        <x:v>SHORTS</x:v>
      </x:c>
      <x:c r="E37" s="20" t="str">
        <x:v>Darkest Teal/Functional Teal</x:v>
      </x:c>
      <x:c r="F37" s="20" t="str">
        <x:v>XS</x:v>
      </x:c>
      <x:c r="G37" s="22" t="n">
        <x:v>1</x:v>
      </x:c>
      <x:c r="H37" s="24" t="n">
        <x:v>13.2</x:v>
      </x:c>
      <x:c r="I37" s="24" t="n">
        <x:f>IF(G37&gt;0,H37/G37,0)</x:f>
        <x:v>13.2</x:v>
      </x:c>
      <x:c r="J37" s="24" t="n">
        <x:f>G37*I37</x:f>
        <x:v>13.2</x:v>
      </x:c>
      <x:c r="K37" s="20" t="str">
        <x:v>EN_TRANSITO</x:v>
      </x:c>
      <x:c r="L37" s="20" t="str">
        <x:v>PENDIENTE</x:v>
      </x:c>
      <x:c r="M37" s="20" t="str">
        <x:v>NO</x:v>
      </x:c>
      <x:c r="N37" s="22" t="n">
        <x:v>0</x:v>
      </x:c>
      <x:c r="O37" s="20" t="str">
        <x:v>IMG06</x:v>
      </x:c>
      <x:c r="P37" s="20" t="str"/>
      <x:c r="Q37" s="20" t="str">
        <x:f>C37&amp;" | "&amp;E37&amp;" | "&amp;F37</x:f>
        <x:v>Adapt Fleck Seamless Shorts | Darkest Teal/Functional Teal | XS</x:v>
      </x:c>
    </x:row>
    <x:row r="38">
      <x:c r="A38" s="20" t="n">
        <x:v>36</x:v>
      </x:c>
      <x:c r="B38" s="20" t="str">
        <x:v>GYMSHARK</x:v>
      </x:c>
      <x:c r="C38" s="20" t="str">
        <x:v>Gains Seamless Washed Short</x:v>
      </x:c>
      <x:c r="D38" s="20" t="str">
        <x:v>SHORTS</x:v>
      </x:c>
      <x:c r="E38" s="20" t="str">
        <x:v>Carmine Red/Wash</x:v>
      </x:c>
      <x:c r="F38" s="20" t="str">
        <x:v>XS</x:v>
      </x:c>
      <x:c r="G38" s="22" t="n">
        <x:v>1</x:v>
      </x:c>
      <x:c r="H38" s="24" t="n">
        <x:v>12</x:v>
      </x:c>
      <x:c r="I38" s="24" t="n">
        <x:f>IF(G38&gt;0,H38/G38,0)</x:f>
        <x:v>12</x:v>
      </x:c>
      <x:c r="J38" s="24" t="n">
        <x:f>G38*I38</x:f>
        <x:v>12</x:v>
      </x:c>
      <x:c r="K38" s="20" t="str">
        <x:v>EN_TRANSITO</x:v>
      </x:c>
      <x:c r="L38" s="20" t="str">
        <x:v>PENDIENTE</x:v>
      </x:c>
      <x:c r="M38" s="20" t="str">
        <x:v>NO</x:v>
      </x:c>
      <x:c r="N38" s="22" t="n">
        <x:v>0</x:v>
      </x:c>
      <x:c r="O38" s="20" t="str">
        <x:v>IMG06</x:v>
      </x:c>
      <x:c r="P38" s="20" t="str"/>
      <x:c r="Q38" s="20" t="str">
        <x:f>C38&amp;" | "&amp;E38&amp;" | "&amp;F38</x:f>
        <x:v>Gains Seamless Washed Short | Carmine Red/Wash | XS</x:v>
      </x:c>
    </x:row>
    <x:row r="39">
      <x:c r="A39" s="20" t="n">
        <x:v>37</x:v>
      </x:c>
      <x:c r="B39" s="20" t="str">
        <x:v>GYMSHARK</x:v>
      </x:c>
      <x:c r="C39" s="20" t="str">
        <x:v>Lift Seamless High-Rise Leggings</x:v>
      </x:c>
      <x:c r="D39" s="20" t="str">
        <x:v>LEGGINGS</x:v>
      </x:c>
      <x:c r="E39" s="20" t="str">
        <x:v>Bold Orange</x:v>
      </x:c>
      <x:c r="F39" s="20" t="str">
        <x:v>XS</x:v>
      </x:c>
      <x:c r="G39" s="22" t="n">
        <x:v>1</x:v>
      </x:c>
      <x:c r="H39" s="24" t="n">
        <x:v>18</x:v>
      </x:c>
      <x:c r="I39" s="24" t="n">
        <x:f>IF(G39&gt;0,H39/G39,0)</x:f>
        <x:v>18</x:v>
      </x:c>
      <x:c r="J39" s="24" t="n">
        <x:f>G39*I39</x:f>
        <x:v>18</x:v>
      </x:c>
      <x:c r="K39" s="20" t="str">
        <x:v>EN_TRANSITO</x:v>
      </x:c>
      <x:c r="L39" s="20" t="str">
        <x:v>PENDIENTE</x:v>
      </x:c>
      <x:c r="M39" s="20" t="str">
        <x:v>NO</x:v>
      </x:c>
      <x:c r="N39" s="22" t="n">
        <x:v>0</x:v>
      </x:c>
      <x:c r="O39" s="20" t="str">
        <x:v>IMG06</x:v>
      </x:c>
      <x:c r="P39" s="20" t="str"/>
      <x:c r="Q39" s="20" t="str">
        <x:f>C39&amp;" | "&amp;E39&amp;" | "&amp;F39</x:f>
        <x:v>Lift Seamless High-Rise Leggings | Bold Orange | XS</x:v>
      </x:c>
    </x:row>
    <x:row r="40">
      <x:c r="A40" s="20" t="n">
        <x:v>38</x:v>
      </x:c>
      <x:c r="B40" s="20" t="str">
        <x:v>GYMSHARK</x:v>
      </x:c>
      <x:c r="C40" s="20" t="str">
        <x:v>Halter Neck Cami with Shelf</x:v>
      </x:c>
      <x:c r="D40" s="20" t="str">
        <x:v>TOPS / TANK</x:v>
      </x:c>
      <x:c r="E40" s="20" t="str">
        <x:v>Energy Gelato Green</x:v>
      </x:c>
      <x:c r="F40" s="20" t="str">
        <x:v>XXL</x:v>
      </x:c>
      <x:c r="G40" s="22" t="n">
        <x:v>1</x:v>
      </x:c>
      <x:c r="H40" s="24" t="n">
        <x:v>11.4</x:v>
      </x:c>
      <x:c r="I40" s="24" t="n">
        <x:f>IF(G40&gt;0,H40/G40,0)</x:f>
        <x:v>11.4</x:v>
      </x:c>
      <x:c r="J40" s="24" t="n">
        <x:f>G40*I40</x:f>
        <x:v>11.4</x:v>
      </x:c>
      <x:c r="K40" s="20" t="str">
        <x:v>EN_TRANSITO</x:v>
      </x:c>
      <x:c r="L40" s="20" t="str">
        <x:v>PENDIENTE</x:v>
      </x:c>
      <x:c r="M40" s="20" t="str">
        <x:v>NO</x:v>
      </x:c>
      <x:c r="N40" s="22" t="n">
        <x:v>0</x:v>
      </x:c>
      <x:c r="O40" s="20" t="str">
        <x:v>IMG06</x:v>
      </x:c>
      <x:c r="P40" s="20" t="str"/>
      <x:c r="Q40" s="20" t="str">
        <x:f>C40&amp;" | "&amp;E40&amp;" | "&amp;F40</x:f>
        <x:v>Halter Neck Cami with Shelf | Energy Gelato Green | XXL</x:v>
      </x:c>
    </x:row>
    <x:row r="41">
      <x:c r="A41" s="20" t="n">
        <x:v>39</x:v>
      </x:c>
      <x:c r="B41" s="20" t="str">
        <x:v>GYMSHARK</x:v>
      </x:c>
      <x:c r="C41" s="20" t="str">
        <x:v>Adapt Fleck Seamless Leggings</x:v>
      </x:c>
      <x:c r="D41" s="20" t="str">
        <x:v>LEGGINGS</x:v>
      </x:c>
      <x:c r="E41" s="20" t="str">
        <x:v>Winning Pink/Sour Pink</x:v>
      </x:c>
      <x:c r="F41" s="20" t="str">
        <x:v>XS</x:v>
      </x:c>
      <x:c r="G41" s="22" t="n">
        <x:v>1</x:v>
      </x:c>
      <x:c r="H41" s="24" t="n">
        <x:v>18</x:v>
      </x:c>
      <x:c r="I41" s="24" t="n">
        <x:f>IF(G41&gt;0,H41/G41,0)</x:f>
        <x:v>18</x:v>
      </x:c>
      <x:c r="J41" s="24" t="n">
        <x:f>G41*I41</x:f>
        <x:v>18</x:v>
      </x:c>
      <x:c r="K41" s="20" t="str">
        <x:v>EN_TRANSITO</x:v>
      </x:c>
      <x:c r="L41" s="20" t="str">
        <x:v>PENDIENTE</x:v>
      </x:c>
      <x:c r="M41" s="20" t="str">
        <x:v>NO</x:v>
      </x:c>
      <x:c r="N41" s="22" t="n">
        <x:v>0</x:v>
      </x:c>
      <x:c r="O41" s="20" t="str">
        <x:v>IMG06</x:v>
      </x:c>
      <x:c r="P41" s="20" t="str"/>
      <x:c r="Q41" s="20" t="str">
        <x:f>C41&amp;" | "&amp;E41&amp;" | "&amp;F41</x:f>
        <x:v>Adapt Fleck Seamless Leggings | Winning Pink/Sour Pink | XS</x:v>
      </x:c>
    </x:row>
    <x:row r="42">
      <x:c r="A42" s="22" t="n">
        <x:v>40</x:v>
      </x:c>
      <x:c r="B42" s="20" t="str">
        <x:v>GYMSHARK</x:v>
      </x:c>
      <x:c r="C42" s="20" t="str">
        <x:v>Lifting Pocket Shorts</x:v>
      </x:c>
      <x:c r="D42" s="20" t="str">
        <x:v>SHORTS</x:v>
      </x:c>
      <x:c r="E42" s="20" t="str">
        <x:v>Darkest Teal</x:v>
      </x:c>
      <x:c r="F42" s="20" t="str">
        <x:v>XS</x:v>
      </x:c>
      <x:c r="G42" s="50" t="n">
        <x:v>1</x:v>
      </x:c>
      <x:c r="H42" s="50" t="n">
        <x:v>12.6</x:v>
      </x:c>
      <x:c r="I42" s="50" t="n">
        <x:v>12.6</x:v>
      </x:c>
      <x:c r="J42" s="50" t="n">
        <x:v>12.6</x:v>
      </x:c>
      <x:c r="K42" s="20" t="str">
        <x:v>EN_TRANSITO</x:v>
      </x:c>
      <x:c r="L42" s="20" t="str">
        <x:v>PENDIENTE</x:v>
      </x:c>
      <x:c r="M42" s="20" t="str">
        <x:v>NO</x:v>
      </x:c>
      <x:c r="N42" s="22" t="n">
        <x:v>0</x:v>
      </x:c>
      <x:c r="O42" s="20" t="str">
        <x:v>IMG07</x:v>
      </x:c>
      <x:c r="P42" s="20" t="str"/>
      <x:c r="Q42" s="20" t="str">
        <x:v>Lifting Pocket Shorts | Darkest Teal | XS</x:v>
      </x:c>
    </x:row>
    <x:row r="43">
      <x:c r="A43" s="22" t="n">
        <x:v>41</x:v>
      </x:c>
      <x:c r="B43" s="20" t="str">
        <x:v>GYMSHARK</x:v>
      </x:c>
      <x:c r="C43" s="20" t="str">
        <x:v>Lifting Club Mesh 5" Shorts</x:v>
      </x:c>
      <x:c r="D43" s="20" t="str">
        <x:v>SHORTS</x:v>
      </x:c>
      <x:c r="E43" s="20" t="str">
        <x:v>Physical Pink</x:v>
      </x:c>
      <x:c r="F43" s="20" t="str">
        <x:v>XS</x:v>
      </x:c>
      <x:c r="G43" s="50" t="n">
        <x:v>1</x:v>
      </x:c>
      <x:c r="H43" s="50" t="n">
        <x:v>12</x:v>
      </x:c>
      <x:c r="I43" s="50" t="n">
        <x:v>12</x:v>
      </x:c>
      <x:c r="J43" s="50" t="n">
        <x:v>12</x:v>
      </x:c>
      <x:c r="K43" s="20" t="str">
        <x:v>EN_TRANSITO</x:v>
      </x:c>
      <x:c r="L43" s="20" t="str">
        <x:v>PENDIENTE</x:v>
      </x:c>
      <x:c r="M43" s="20" t="str">
        <x:v>NO</x:v>
      </x:c>
      <x:c r="N43" s="22" t="n">
        <x:v>0</x:v>
      </x:c>
      <x:c r="O43" s="20" t="str">
        <x:v>IMG07</x:v>
      </x:c>
      <x:c r="P43" s="20" t="str"/>
      <x:c r="Q43" s="20" t="str">
        <x:v>Lifting Club Mesh 5" Shorts | Physical Pink | XS</x:v>
      </x:c>
    </x:row>
    <x:row r="44">
      <x:c r="A44" s="22" t="n">
        <x:v>42</x:v>
      </x:c>
      <x:c r="B44" s="20" t="str">
        <x:v>GYMSHARK</x:v>
      </x:c>
      <x:c r="C44" s="20" t="str">
        <x:v>Legacy Cotton Shorts</x:v>
      </x:c>
      <x:c r="D44" s="20" t="str">
        <x:v>SHORTS</x:v>
      </x:c>
      <x:c r="E44" s="20" t="str">
        <x:v>Black</x:v>
      </x:c>
      <x:c r="F44" s="20" t="str">
        <x:v>XS</x:v>
      </x:c>
      <x:c r="G44" s="50" t="n">
        <x:v>1</x:v>
      </x:c>
      <x:c r="H44" s="50" t="n">
        <x:v>13.2</x:v>
      </x:c>
      <x:c r="I44" s="50" t="n">
        <x:v>13.2</x:v>
      </x:c>
      <x:c r="J44" s="50" t="n">
        <x:v>13.2</x:v>
      </x:c>
      <x:c r="K44" s="20" t="str">
        <x:v>EN_TRANSITO</x:v>
      </x:c>
      <x:c r="L44" s="20" t="str">
        <x:v>PENDIENTE</x:v>
      </x:c>
      <x:c r="M44" s="20" t="str">
        <x:v>NO</x:v>
      </x:c>
      <x:c r="N44" s="22" t="n">
        <x:v>0</x:v>
      </x:c>
      <x:c r="O44" s="20" t="str">
        <x:v>IMG07</x:v>
      </x:c>
      <x:c r="P44" s="20" t="str"/>
      <x:c r="Q44" s="20" t="str">
        <x:v>Legacy Cotton Shorts | Black | XS</x:v>
      </x:c>
    </x:row>
    <x:row r="45">
      <x:c r="A45" s="22" t="n">
        <x:v>43</x:v>
      </x:c>
      <x:c r="B45" s="20" t="str">
        <x:v>GYMSHARK</x:v>
      </x:c>
      <x:c r="C45" s="20" t="str">
        <x:v>Lifting Essentials Graphic Brushed 4' Shorts</x:v>
      </x:c>
      <x:c r="D45" s="20" t="str">
        <x:v>SHORTS</x:v>
      </x:c>
      <x:c r="E45" s="20" t="str">
        <x:v>Black</x:v>
      </x:c>
      <x:c r="F45" s="20" t="str">
        <x:v>XS</x:v>
      </x:c>
      <x:c r="G45" s="50" t="n">
        <x:v>1</x:v>
      </x:c>
      <x:c r="H45" s="50" t="n">
        <x:v>10.2</x:v>
      </x:c>
      <x:c r="I45" s="50" t="n">
        <x:v>10.2</x:v>
      </x:c>
      <x:c r="J45" s="50" t="n">
        <x:v>10.2</x:v>
      </x:c>
      <x:c r="K45" s="20" t="str">
        <x:v>EN_TRANSITO</x:v>
      </x:c>
      <x:c r="L45" s="20" t="str">
        <x:v>PENDIENTE</x:v>
      </x:c>
      <x:c r="M45" s="20" t="str">
        <x:v>NO</x:v>
      </x:c>
      <x:c r="N45" s="22" t="n">
        <x:v>0</x:v>
      </x:c>
      <x:c r="O45" s="20" t="str">
        <x:v>IMG07</x:v>
      </x:c>
      <x:c r="P45" s="20" t="str"/>
      <x:c r="Q45" s="20" t="str">
        <x:v>Lifting Essentials Graphic Brushed 4' Shorts | Black | XS</x:v>
      </x:c>
    </x:row>
    <x:row r="46">
      <x:c r="A46" s="22" t="n">
        <x:v>44</x:v>
      </x:c>
      <x:c r="B46" s="20" t="str">
        <x:v>GYMSHARK</x:v>
      </x:c>
      <x:c r="C46" s="20" t="str">
        <x:v>Fleece Shorts</x:v>
      </x:c>
      <x:c r="D46" s="20" t="str">
        <x:v>SHORTS</x:v>
      </x:c>
      <x:c r="E46" s="20" t="str">
        <x:v>Heritage Brown</x:v>
      </x:c>
      <x:c r="F46" s="20" t="str">
        <x:v>S</x:v>
      </x:c>
      <x:c r="G46" s="50" t="n">
        <x:v>1</x:v>
      </x:c>
      <x:c r="H46" s="50" t="n">
        <x:v>16.2</x:v>
      </x:c>
      <x:c r="I46" s="50" t="n">
        <x:v>16.2</x:v>
      </x:c>
      <x:c r="J46" s="50" t="n">
        <x:v>16.2</x:v>
      </x:c>
      <x:c r="K46" s="20" t="str">
        <x:v>EN_TRANSITO</x:v>
      </x:c>
      <x:c r="L46" s="20" t="str">
        <x:v>PENDIENTE</x:v>
      </x:c>
      <x:c r="M46" s="20" t="str">
        <x:v>NO</x:v>
      </x:c>
      <x:c r="N46" s="22" t="n">
        <x:v>0</x:v>
      </x:c>
      <x:c r="O46" s="20" t="str">
        <x:v>IMG07</x:v>
      </x:c>
      <x:c r="P46" s="20" t="str"/>
      <x:c r="Q46" s="20" t="str">
        <x:v>Fleece Shorts | Heritage Brown | S</x:v>
      </x:c>
    </x:row>
    <x:row r="47">
      <x:c r="A47" s="22" t="n">
        <x:v>45</x:v>
      </x:c>
      <x:c r="B47" s="20" t="str">
        <x:v>GYMSHARK</x:v>
      </x:c>
      <x:c r="C47" s="20" t="str">
        <x:v>Fleece Shorts</x:v>
      </x:c>
      <x:c r="D47" s="20" t="str">
        <x:v>SHORTS</x:v>
      </x:c>
      <x:c r="E47" s="20" t="str">
        <x:v>Heritage Brown</x:v>
      </x:c>
      <x:c r="F47" s="20" t="str">
        <x:v>M</x:v>
      </x:c>
      <x:c r="G47" s="50" t="n">
        <x:v>1</x:v>
      </x:c>
      <x:c r="H47" s="50" t="n">
        <x:v>16.2</x:v>
      </x:c>
      <x:c r="I47" s="50" t="n">
        <x:v>16.2</x:v>
      </x:c>
      <x:c r="J47" s="50" t="n">
        <x:v>16.2</x:v>
      </x:c>
      <x:c r="K47" s="20" t="str">
        <x:v>EN_TRANSITO</x:v>
      </x:c>
      <x:c r="L47" s="20" t="str">
        <x:v>PENDIENTE</x:v>
      </x:c>
      <x:c r="M47" s="20" t="str">
        <x:v>NO</x:v>
      </x:c>
      <x:c r="N47" s="22" t="n">
        <x:v>0</x:v>
      </x:c>
      <x:c r="O47" s="20" t="str">
        <x:v>IMG07</x:v>
      </x:c>
      <x:c r="P47" s="20" t="str"/>
      <x:c r="Q47" s="20" t="str">
        <x:v>Fleece Shorts | Heritage Brown | M</x:v>
      </x:c>
    </x:row>
    <x:row r="48">
      <x:c r="A48" s="22" t="n">
        <x:v>46</x:v>
      </x:c>
      <x:c r="B48" s="20" t="str">
        <x:v>GYMSHARK</x:v>
      </x:c>
      <x:c r="C48" s="20" t="str">
        <x:v>Adapt Camo Seamless Leggings</x:v>
      </x:c>
      <x:c r="D48" s="20" t="str">
        <x:v>LEGGINGS</x:v>
      </x:c>
      <x:c r="E48" s="20" t="str">
        <x:v>Moss Olive/Core Olive</x:v>
      </x:c>
      <x:c r="F48" s="20" t="str">
        <x:v>M</x:v>
      </x:c>
      <x:c r="G48" s="50" t="n">
        <x:v>1</x:v>
      </x:c>
      <x:c r="H48" s="50" t="n">
        <x:v>18</x:v>
      </x:c>
      <x:c r="I48" s="50" t="n">
        <x:v>18</x:v>
      </x:c>
      <x:c r="J48" s="50" t="n">
        <x:v>18</x:v>
      </x:c>
      <x:c r="K48" s="20" t="str">
        <x:v>EN_TRANSITO</x:v>
      </x:c>
      <x:c r="L48" s="20" t="str">
        <x:v>PENDIENTE</x:v>
      </x:c>
      <x:c r="M48" s="20" t="str">
        <x:v>NO</x:v>
      </x:c>
      <x:c r="N48" s="22" t="n">
        <x:v>0</x:v>
      </x:c>
      <x:c r="O48" s="20" t="str">
        <x:v>IMG08</x:v>
      </x:c>
      <x:c r="P48" s="20" t="str"/>
      <x:c r="Q48" s="20" t="str">
        <x:v>Adapt Camo Seamless Leggings | Moss Olive/Core Olive | M</x:v>
      </x:c>
    </x:row>
    <x:row r="49">
      <x:c r="A49" s="22" t="n">
        <x:v>47</x:v>
      </x:c>
      <x:c r="B49" s="20" t="str">
        <x:v>GYMSHARK</x:v>
      </x:c>
      <x:c r="C49" s="20" t="str">
        <x:v>Gains Washed Heavyweight Cotton T-Shirt</x:v>
      </x:c>
      <x:c r="D49" s="20" t="str">
        <x:v>T-SHIRTS</x:v>
      </x:c>
      <x:c r="E49" s="20" t="str">
        <x:v>Asphalt Grey/Black/Spray Dye</x:v>
      </x:c>
      <x:c r="F49" s="20" t="str">
        <x:v>S</x:v>
      </x:c>
      <x:c r="G49" s="50" t="n">
        <x:v>1</x:v>
      </x:c>
      <x:c r="H49" s="50" t="n">
        <x:v>12</x:v>
      </x:c>
      <x:c r="I49" s="50" t="n">
        <x:v>12</x:v>
      </x:c>
      <x:c r="J49" s="50" t="n">
        <x:v>12</x:v>
      </x:c>
      <x:c r="K49" s="20" t="str">
        <x:v>EN_TRANSITO</x:v>
      </x:c>
      <x:c r="L49" s="20" t="str">
        <x:v>PENDIENTE</x:v>
      </x:c>
      <x:c r="M49" s="20" t="str">
        <x:v>NO</x:v>
      </x:c>
      <x:c r="N49" s="22" t="n">
        <x:v>0</x:v>
      </x:c>
      <x:c r="O49" s="20" t="str">
        <x:v>IMG09</x:v>
      </x:c>
      <x:c r="P49" s="20" t="str"/>
      <x:c r="Q49" s="20" t="str">
        <x:v>Gains Washed Heavyweight Cotton T-Shirt | Asphalt Grey/Black/Spray Dye | S</x:v>
      </x:c>
    </x:row>
    <x:row r="50">
      <x:c r="A50" s="22" t="n">
        <x:v>48</x:v>
      </x:c>
      <x:c r="B50" s="20" t="str">
        <x:v>GYMSHARK</x:v>
      </x:c>
      <x:c r="C50" s="20" t="str">
        <x:v>Locked In Graphic Jogger</x:v>
      </x:c>
      <x:c r="D50" s="20" t="str">
        <x:v>JOGGERS / PANTS</x:v>
      </x:c>
      <x:c r="E50" s="20" t="str">
        <x:v>Black</x:v>
      </x:c>
      <x:c r="F50" s="20" t="str">
        <x:v>L</x:v>
      </x:c>
      <x:c r="G50" s="50" t="n">
        <x:v>1</x:v>
      </x:c>
      <x:c r="H50" s="50" t="n">
        <x:v>30.8</x:v>
      </x:c>
      <x:c r="I50" s="50" t="n">
        <x:v>30.8</x:v>
      </x:c>
      <x:c r="J50" s="50" t="n">
        <x:v>30.8</x:v>
      </x:c>
      <x:c r="K50" s="20" t="str">
        <x:v>EN_TRANSITO</x:v>
      </x:c>
      <x:c r="L50" s="20" t="str">
        <x:v>PENDIENTE</x:v>
      </x:c>
      <x:c r="M50" s="20" t="str">
        <x:v>NO</x:v>
      </x:c>
      <x:c r="N50" s="22" t="n">
        <x:v>0</x:v>
      </x:c>
      <x:c r="O50" s="20" t="str">
        <x:v>IMG09</x:v>
      </x:c>
      <x:c r="P50" s="20" t="str"/>
      <x:c r="Q50" s="20" t="str">
        <x:v>Locked In Graphic Jogger | Black | L</x:v>
      </x:c>
    </x:row>
    <x:row r="51">
      <x:c r="A51" s="22" t="n">
        <x:v>49</x:v>
      </x:c>
      <x:c r="B51" s="20" t="str">
        <x:v>GYMSHARK</x:v>
      </x:c>
      <x:c r="C51" s="20" t="str">
        <x:v>Everyday Seamless Shelf Tank</x:v>
      </x:c>
      <x:c r="D51" s="20" t="str">
        <x:v>TOPS / TANK</x:v>
      </x:c>
      <x:c r="E51" s="20" t="str">
        <x:v>Butter Yellow</x:v>
      </x:c>
      <x:c r="F51" s="20" t="str">
        <x:v>S</x:v>
      </x:c>
      <x:c r="G51" s="50" t="n">
        <x:v>1</x:v>
      </x:c>
      <x:c r="H51" s="50" t="n">
        <x:v>30</x:v>
      </x:c>
      <x:c r="I51" s="50" t="n">
        <x:v>30</x:v>
      </x:c>
      <x:c r="J51" s="50" t="n">
        <x:v>30</x:v>
      </x:c>
      <x:c r="K51" s="20" t="str">
        <x:v>EN_TRANSITO</x:v>
      </x:c>
      <x:c r="L51" s="20" t="str">
        <x:v>PENDIENTE</x:v>
      </x:c>
      <x:c r="M51" s="20" t="str">
        <x:v>NO</x:v>
      </x:c>
      <x:c r="N51" s="22" t="n">
        <x:v>0</x:v>
      </x:c>
      <x:c r="O51" s="20" t="str">
        <x:v>IMG09</x:v>
      </x:c>
      <x:c r="P51" s="20" t="str"/>
      <x:c r="Q51" s="20" t="str">
        <x:v>Everyday Seamless Shelf Tank | Butter Yellow | S</x:v>
      </x:c>
    </x:row>
    <x:row r="52">
      <x:c r="A52" s="22" t="n">
        <x:v>50</x:v>
      </x:c>
      <x:c r="B52" s="20" t="str">
        <x:v>GYMSHARK</x:v>
      </x:c>
      <x:c r="C52" s="20" t="str">
        <x:v>Everyday Seamless Shelf Tank</x:v>
      </x:c>
      <x:c r="D52" s="20" t="str">
        <x:v>TOPS / TANK</x:v>
      </x:c>
      <x:c r="E52" s="20" t="str">
        <x:v>Butter Yellow</x:v>
      </x:c>
      <x:c r="F52" s="20" t="str">
        <x:v>M</x:v>
      </x:c>
      <x:c r="G52" s="50" t="n">
        <x:v>1</x:v>
      </x:c>
      <x:c r="H52" s="50" t="n">
        <x:v>30</x:v>
      </x:c>
      <x:c r="I52" s="50" t="n">
        <x:v>30</x:v>
      </x:c>
      <x:c r="J52" s="50" t="n">
        <x:v>30</x:v>
      </x:c>
      <x:c r="K52" s="20" t="str">
        <x:v>EN_TRANSITO</x:v>
      </x:c>
      <x:c r="L52" s="20" t="str">
        <x:v>PENDIENTE</x:v>
      </x:c>
      <x:c r="M52" s="20" t="str">
        <x:v>NO</x:v>
      </x:c>
      <x:c r="N52" s="22" t="n">
        <x:v>0</x:v>
      </x:c>
      <x:c r="O52" s="20" t="str">
        <x:v>IMG09</x:v>
      </x:c>
      <x:c r="P52" s="20" t="str"/>
      <x:c r="Q52" s="20" t="str">
        <x:v>Everyday Seamless Shelf Tank | Butter Yellow | M</x:v>
      </x:c>
    </x:row>
    <x:row r="53">
      <x:c r="A53" s="22" t="n">
        <x:v>51</x:v>
      </x:c>
      <x:c r="B53" s="20" t="str">
        <x:v>GYMSHARK</x:v>
      </x:c>
      <x:c r="C53" s="20" t="str">
        <x:v>Everyday Seamless Shorts</x:v>
      </x:c>
      <x:c r="D53" s="20" t="str">
        <x:v>SHORTS</x:v>
      </x:c>
      <x:c r="E53" s="20" t="str">
        <x:v>Butter Yellow</x:v>
      </x:c>
      <x:c r="F53" s="20" t="str">
        <x:v>XS</x:v>
      </x:c>
      <x:c r="G53" s="50" t="n">
        <x:v>1</x:v>
      </x:c>
      <x:c r="H53" s="50" t="n">
        <x:v>28</x:v>
      </x:c>
      <x:c r="I53" s="50" t="n">
        <x:v>28</x:v>
      </x:c>
      <x:c r="J53" s="50" t="n">
        <x:v>28</x:v>
      </x:c>
      <x:c r="K53" s="20" t="str">
        <x:v>EN_TRANSITO</x:v>
      </x:c>
      <x:c r="L53" s="20" t="str">
        <x:v>PENDIENTE</x:v>
      </x:c>
      <x:c r="M53" s="20" t="str">
        <x:v>NO</x:v>
      </x:c>
      <x:c r="N53" s="22" t="n">
        <x:v>0</x:v>
      </x:c>
      <x:c r="O53" s="20" t="str">
        <x:v>IMG09</x:v>
      </x:c>
      <x:c r="P53" s="20" t="str"/>
      <x:c r="Q53" s="20" t="str">
        <x:v>Everyday Seamless Shorts | Butter Yellow | XS</x:v>
      </x:c>
    </x:row>
    <x:row r="54">
      <x:c r="A54" s="22" t="n">
        <x:v>52</x:v>
      </x:c>
      <x:c r="B54" s="20" t="str">
        <x:v>GYMSHARK</x:v>
      </x:c>
      <x:c r="C54" s="20" t="str">
        <x:v>Power Washed Joggers</x:v>
      </x:c>
      <x:c r="D54" s="20" t="str">
        <x:v>JOGGERS / PANTS</x:v>
      </x:c>
      <x:c r="E54" s="20" t="str">
        <x:v>Dusk Purple/Wash</x:v>
      </x:c>
      <x:c r="F54" s="20" t="str">
        <x:v>M</x:v>
      </x:c>
      <x:c r="G54" s="50" t="n">
        <x:v>1</x:v>
      </x:c>
      <x:c r="H54" s="50" t="n">
        <x:v>22.4</x:v>
      </x:c>
      <x:c r="I54" s="50" t="n">
        <x:v>22.4</x:v>
      </x:c>
      <x:c r="J54" s="50" t="n">
        <x:v>22.4</x:v>
      </x:c>
      <x:c r="K54" s="20" t="str">
        <x:v>EN_TRANSITO</x:v>
      </x:c>
      <x:c r="L54" s="20" t="str">
        <x:v>PENDIENTE</x:v>
      </x:c>
      <x:c r="M54" s="20" t="str">
        <x:v>NO</x:v>
      </x:c>
      <x:c r="N54" s="22" t="n">
        <x:v>0</x:v>
      </x:c>
      <x:c r="O54" s="20" t="str">
        <x:v>IMG10</x:v>
      </x:c>
      <x:c r="P54" s="20" t="str"/>
      <x:c r="Q54" s="20" t="str">
        <x:v>Power Washed Joggers | Dusk Purple/Wash | M</x:v>
      </x:c>
    </x:row>
    <x:row r="55">
      <x:c r="A55" s="22" t="n">
        <x:v>53</x:v>
      </x:c>
      <x:c r="B55" s="20" t="str">
        <x:v>GYMSHARK</x:v>
      </x:c>
      <x:c r="C55" s="20" t="str">
        <x:v>Shelf Cami Tank</x:v>
      </x:c>
      <x:c r="D55" s="20" t="str">
        <x:v>TOPS / TANK</x:v>
      </x:c>
      <x:c r="E55" s="20" t="str">
        <x:v>Steady Purple</x:v>
      </x:c>
      <x:c r="F55" s="20" t="str">
        <x:v>S</x:v>
      </x:c>
      <x:c r="G55" s="50" t="n">
        <x:v>1</x:v>
      </x:c>
      <x:c r="H55" s="50" t="n">
        <x:v>19</x:v>
      </x:c>
      <x:c r="I55" s="50" t="n">
        <x:v>19</x:v>
      </x:c>
      <x:c r="J55" s="50" t="n">
        <x:v>19</x:v>
      </x:c>
      <x:c r="K55" s="20" t="str">
        <x:v>EN_TRANSITO</x:v>
      </x:c>
      <x:c r="L55" s="20" t="str">
        <x:v>PENDIENTE</x:v>
      </x:c>
      <x:c r="M55" s="20" t="str">
        <x:v>NO</x:v>
      </x:c>
      <x:c r="N55" s="22" t="n">
        <x:v>0</x:v>
      </x:c>
      <x:c r="O55" s="20" t="str">
        <x:v>IMG10</x:v>
      </x:c>
      <x:c r="P55" s="20" t="str"/>
      <x:c r="Q55" s="20" t="str">
        <x:v>Shelf Cami Tank | Steady Purple | S</x:v>
      </x:c>
    </x:row>
    <x:row r="56">
      <x:c r="A56" s="22" t="n">
        <x:v>54</x:v>
      </x:c>
      <x:c r="B56" s="20" t="str">
        <x:v>GYMSHARK</x:v>
      </x:c>
      <x:c r="C56" s="20" t="str">
        <x:v>Shelf Cami Tank</x:v>
      </x:c>
      <x:c r="D56" s="20" t="str">
        <x:v>TOPS / TANK</x:v>
      </x:c>
      <x:c r="E56" s="20" t="str">
        <x:v>Steady Purple</x:v>
      </x:c>
      <x:c r="F56" s="20" t="str">
        <x:v>M</x:v>
      </x:c>
      <x:c r="G56" s="50" t="n">
        <x:v>1</x:v>
      </x:c>
      <x:c r="H56" s="50" t="n">
        <x:v>19</x:v>
      </x:c>
      <x:c r="I56" s="50" t="n">
        <x:v>19</x:v>
      </x:c>
      <x:c r="J56" s="50" t="n">
        <x:v>19</x:v>
      </x:c>
      <x:c r="K56" s="20" t="str">
        <x:v>EN_TRANSITO</x:v>
      </x:c>
      <x:c r="L56" s="20" t="str">
        <x:v>PENDIENTE</x:v>
      </x:c>
      <x:c r="M56" s="20" t="str">
        <x:v>NO</x:v>
      </x:c>
      <x:c r="N56" s="22" t="n">
        <x:v>0</x:v>
      </x:c>
      <x:c r="O56" s="20" t="str">
        <x:v>IMG10</x:v>
      </x:c>
      <x:c r="P56" s="20" t="str"/>
      <x:c r="Q56" s="20" t="str">
        <x:v>Shelf Cami Tank | Steady Purple | M</x:v>
      </x:c>
    </x:row>
    <x:row r="57">
      <x:c r="A57" s="22" t="n">
        <x:v>55</x:v>
      </x:c>
      <x:c r="B57" s="20" t="str">
        <x:v>GYMSHARK</x:v>
      </x:c>
      <x:c r="C57" s="20" t="str">
        <x:v>Adapt Animal Leggings</x:v>
      </x:c>
      <x:c r="D57" s="20" t="str">
        <x:v>LEGGINGS</x:v>
      </x:c>
      <x:c r="E57" s="20" t="str">
        <x:v>Black/Asphalt Grey</x:v>
      </x:c>
      <x:c r="F57" s="20" t="str">
        <x:v>XS</x:v>
      </x:c>
      <x:c r="G57" s="50" t="n">
        <x:v>1</x:v>
      </x:c>
      <x:c r="H57" s="50" t="n">
        <x:v>24</x:v>
      </x:c>
      <x:c r="I57" s="50" t="n">
        <x:v>24</x:v>
      </x:c>
      <x:c r="J57" s="50" t="n">
        <x:v>24</x:v>
      </x:c>
      <x:c r="K57" s="20" t="str">
        <x:v>EN_TRANSITO</x:v>
      </x:c>
      <x:c r="L57" s="20" t="str">
        <x:v>PENDIENTE</x:v>
      </x:c>
      <x:c r="M57" s="20" t="str">
        <x:v>NO</x:v>
      </x:c>
      <x:c r="N57" s="22" t="n">
        <x:v>0</x:v>
      </x:c>
      <x:c r="O57" s="20" t="str">
        <x:v>IMG10</x:v>
      </x:c>
      <x:c r="P57" s="20" t="str"/>
      <x:c r="Q57" s="20" t="str">
        <x:v>Adapt Animal Leggings | Black/Asphalt Grey | XS</x:v>
      </x:c>
    </x:row>
    <x:row r="58">
      <x:c r="A58" s="22" t="n">
        <x:v>56</x:v>
      </x:c>
      <x:c r="B58" s="20" t="str">
        <x:v>GYMSHARK</x:v>
      </x:c>
      <x:c r="C58" s="20" t="str">
        <x:v>Adapt Animal Leggings</x:v>
      </x:c>
      <x:c r="D58" s="20" t="str">
        <x:v>LEGGINGS</x:v>
      </x:c>
      <x:c r="E58" s="20" t="str">
        <x:v>Black/Asphalt Grey</x:v>
      </x:c>
      <x:c r="F58" s="20" t="str">
        <x:v>S</x:v>
      </x:c>
      <x:c r="G58" s="50" t="n">
        <x:v>2</x:v>
      </x:c>
      <x:c r="H58" s="50" t="n">
        <x:v>48</x:v>
      </x:c>
      <x:c r="I58" s="50" t="n">
        <x:v>24</x:v>
      </x:c>
      <x:c r="J58" s="50" t="n">
        <x:v>48</x:v>
      </x:c>
      <x:c r="K58" s="20" t="str">
        <x:v>EN_TRANSITO</x:v>
      </x:c>
      <x:c r="L58" s="20" t="str">
        <x:v>PENDIENTE</x:v>
      </x:c>
      <x:c r="M58" s="20" t="str">
        <x:v>NO</x:v>
      </x:c>
      <x:c r="N58" s="22" t="n">
        <x:v>0</x:v>
      </x:c>
      <x:c r="O58" s="20" t="str">
        <x:v>IMG10</x:v>
      </x:c>
      <x:c r="P58" s="20" t="str"/>
      <x:c r="Q58" s="20" t="str">
        <x:v>Adapt Animal Leggings | Black/Asphalt Grey | S</x:v>
      </x:c>
    </x:row>
    <x:row r="59">
      <x:c r="A59" s="22" t="n">
        <x:v>57</x:v>
      </x:c>
      <x:c r="B59" s="20" t="str">
        <x:v>GYMSHARK</x:v>
      </x:c>
      <x:c r="C59" s="20" t="str">
        <x:v>Adapt Animal Leggings</x:v>
      </x:c>
      <x:c r="D59" s="20" t="str">
        <x:v>LEGGINGS</x:v>
      </x:c>
      <x:c r="E59" s="20" t="str">
        <x:v>Black/Asphalt Grey</x:v>
      </x:c>
      <x:c r="F59" s="20" t="str">
        <x:v>M</x:v>
      </x:c>
      <x:c r="G59" s="50" t="n">
        <x:v>2</x:v>
      </x:c>
      <x:c r="H59" s="50" t="n">
        <x:v>48</x:v>
      </x:c>
      <x:c r="I59" s="50" t="n">
        <x:v>24</x:v>
      </x:c>
      <x:c r="J59" s="50" t="n">
        <x:v>48</x:v>
      </x:c>
      <x:c r="K59" s="20" t="str">
        <x:v>EN_TRANSITO</x:v>
      </x:c>
      <x:c r="L59" s="20" t="str">
        <x:v>PENDIENTE</x:v>
      </x:c>
      <x:c r="M59" s="20" t="str">
        <x:v>NO</x:v>
      </x:c>
      <x:c r="N59" s="22" t="n">
        <x:v>0</x:v>
      </x:c>
      <x:c r="O59" s="20" t="str">
        <x:v>IMG10</x:v>
      </x:c>
      <x:c r="P59" s="20" t="str"/>
      <x:c r="Q59" s="20" t="str">
        <x:v>Adapt Animal Leggings | Black/Asphalt Grey | M</x:v>
      </x:c>
    </x:row>
    <x:row r="60">
      <x:c r="A60" s="22" t="n">
        <x:v>58</x:v>
      </x:c>
      <x:c r="B60" s="20" t="str">
        <x:v>GYMSHARK</x:v>
      </x:c>
      <x:c r="C60" s="20" t="str">
        <x:v>Adapt Animal Leggings</x:v>
      </x:c>
      <x:c r="D60" s="20" t="str">
        <x:v>LEGGINGS</x:v>
      </x:c>
      <x:c r="E60" s="20" t="str">
        <x:v>Electric Pink/Sorbet Yellow</x:v>
      </x:c>
      <x:c r="F60" s="20" t="str">
        <x:v>S</x:v>
      </x:c>
      <x:c r="G60" s="50" t="n">
        <x:v>2</x:v>
      </x:c>
      <x:c r="H60" s="50" t="n">
        <x:v>48</x:v>
      </x:c>
      <x:c r="I60" s="50" t="n">
        <x:v>24</x:v>
      </x:c>
      <x:c r="J60" s="50" t="n">
        <x:v>48</x:v>
      </x:c>
      <x:c r="K60" s="20" t="str">
        <x:v>EN_TRANSITO</x:v>
      </x:c>
      <x:c r="L60" s="20" t="str">
        <x:v>PENDIENTE</x:v>
      </x:c>
      <x:c r="M60" s="20" t="str">
        <x:v>NO</x:v>
      </x:c>
      <x:c r="N60" s="22" t="n">
        <x:v>0</x:v>
      </x:c>
      <x:c r="O60" s="20" t="str">
        <x:v>IMG10</x:v>
      </x:c>
      <x:c r="P60" s="20" t="str"/>
      <x:c r="Q60" s="20" t="str">
        <x:v>Adapt Animal Leggings | Electric Pink/Sorbet Yellow | S</x:v>
      </x:c>
    </x:row>
    <x:row r="61">
      <x:c r="A61" s="22" t="n">
        <x:v>59</x:v>
      </x:c>
      <x:c r="B61" s="20" t="str">
        <x:v>GYMSHARK</x:v>
      </x:c>
      <x:c r="C61" s="20" t="str">
        <x:v>Adapt Animal Leggings</x:v>
      </x:c>
      <x:c r="D61" s="20" t="str">
        <x:v>LEGGINGS</x:v>
      </x:c>
      <x:c r="E61" s="20" t="str">
        <x:v>Electric Pink/Sorbet Yellow</x:v>
      </x:c>
      <x:c r="F61" s="20" t="str">
        <x:v>XS</x:v>
      </x:c>
      <x:c r="G61" s="50" t="n">
        <x:v>1</x:v>
      </x:c>
      <x:c r="H61" s="50" t="n">
        <x:v>24</x:v>
      </x:c>
      <x:c r="I61" s="50" t="n">
        <x:v>24</x:v>
      </x:c>
      <x:c r="J61" s="50" t="n">
        <x:v>24</x:v>
      </x:c>
      <x:c r="K61" s="20" t="str">
        <x:v>EN_TRANSITO</x:v>
      </x:c>
      <x:c r="L61" s="20" t="str">
        <x:v>PENDIENTE</x:v>
      </x:c>
      <x:c r="M61" s="20" t="str">
        <x:v>NO</x:v>
      </x:c>
      <x:c r="N61" s="22" t="n">
        <x:v>0</x:v>
      </x:c>
      <x:c r="O61" s="20" t="str">
        <x:v>IMG11</x:v>
      </x:c>
      <x:c r="P61" s="20" t="str"/>
      <x:c r="Q61" s="20" t="str">
        <x:v>Adapt Animal Leggings | Electric Pink/Sorbet Yellow | XS</x:v>
      </x:c>
    </x:row>
    <x:row r="62">
      <x:c r="A62" s="22" t="n">
        <x:v>60</x:v>
      </x:c>
      <x:c r="B62" s="20" t="str">
        <x:v>GYMSHARK</x:v>
      </x:c>
      <x:c r="C62" s="20" t="str">
        <x:v>To From Pants</x:v>
      </x:c>
      <x:c r="D62" s="20" t="str">
        <x:v>PANTS</x:v>
      </x:c>
      <x:c r="E62" s="20" t="str">
        <x:v>Cherry Purple/Reset Pink</x:v>
      </x:c>
      <x:c r="F62" s="20" t="str">
        <x:v>XS</x:v>
      </x:c>
      <x:c r="G62" s="50" t="n">
        <x:v>2</x:v>
      </x:c>
      <x:c r="H62" s="50" t="n">
        <x:v>44.8</x:v>
      </x:c>
      <x:c r="I62" s="50" t="n">
        <x:v>22.4</x:v>
      </x:c>
      <x:c r="J62" s="50" t="n">
        <x:v>44.8</x:v>
      </x:c>
      <x:c r="K62" s="20" t="str">
        <x:v>EN_TRANSITO</x:v>
      </x:c>
      <x:c r="L62" s="20" t="str">
        <x:v>PENDIENTE</x:v>
      </x:c>
      <x:c r="M62" s="20" t="str">
        <x:v>NO</x:v>
      </x:c>
      <x:c r="N62" s="22" t="n">
        <x:v>0</x:v>
      </x:c>
      <x:c r="O62" s="20" t="str">
        <x:v>IMG11</x:v>
      </x:c>
      <x:c r="P62" s="20" t="str"/>
      <x:c r="Q62" s="20" t="str">
        <x:v>To From Pants | Cherry Purple/Reset Pink | XS</x:v>
      </x:c>
    </x:row>
    <x:row r="63">
      <x:c r="A63" s="22" t="n">
        <x:v>61</x:v>
      </x:c>
      <x:c r="B63" s="20" t="str">
        <x:v>GYMSHARK</x:v>
      </x:c>
      <x:c r="C63" s="20" t="str">
        <x:v>To From Pants</x:v>
      </x:c>
      <x:c r="D63" s="20" t="str">
        <x:v>PANTS</x:v>
      </x:c>
      <x:c r="E63" s="20" t="str">
        <x:v>Cherry Purple/Reset Pink</x:v>
      </x:c>
      <x:c r="F63" s="20" t="str">
        <x:v>M</x:v>
      </x:c>
      <x:c r="G63" s="50" t="n">
        <x:v>1</x:v>
      </x:c>
      <x:c r="H63" s="50" t="n">
        <x:v>22.4</x:v>
      </x:c>
      <x:c r="I63" s="50" t="n">
        <x:v>22.4</x:v>
      </x:c>
      <x:c r="J63" s="50" t="n">
        <x:v>22.4</x:v>
      </x:c>
      <x:c r="K63" s="20" t="str">
        <x:v>EN_TRANSITO</x:v>
      </x:c>
      <x:c r="L63" s="20" t="str">
        <x:v>PENDIENTE</x:v>
      </x:c>
      <x:c r="M63" s="20" t="str">
        <x:v>NO</x:v>
      </x:c>
      <x:c r="N63" s="22" t="n">
        <x:v>0</x:v>
      </x:c>
      <x:c r="O63" s="20" t="str">
        <x:v>IMG11</x:v>
      </x:c>
      <x:c r="P63" s="20" t="str"/>
      <x:c r="Q63" s="20" t="str">
        <x:v>To From Pants | Cherry Purple/Reset Pink | M</x:v>
      </x:c>
    </x:row>
    <x:row r="64">
      <x:c r="A64" s="22" t="n">
        <x:v>62</x:v>
      </x:c>
      <x:c r="B64" s="20" t="str">
        <x:v>GYMSHARK</x:v>
      </x:c>
      <x:c r="C64" s="20" t="str">
        <x:v>To From Pants</x:v>
      </x:c>
      <x:c r="D64" s="20" t="str">
        <x:v>PANTS</x:v>
      </x:c>
      <x:c r="E64" s="20" t="str">
        <x:v>Cherry Purple/Reset Pink</x:v>
      </x:c>
      <x:c r="F64" s="20" t="str">
        <x:v>L</x:v>
      </x:c>
      <x:c r="G64" s="50" t="n">
        <x:v>1</x:v>
      </x:c>
      <x:c r="H64" s="50" t="n">
        <x:v>22.4</x:v>
      </x:c>
      <x:c r="I64" s="50" t="n">
        <x:v>22.4</x:v>
      </x:c>
      <x:c r="J64" s="50" t="n">
        <x:v>22.4</x:v>
      </x:c>
      <x:c r="K64" s="20" t="str">
        <x:v>EN_TRANSITO</x:v>
      </x:c>
      <x:c r="L64" s="20" t="str">
        <x:v>PENDIENTE</x:v>
      </x:c>
      <x:c r="M64" s="20" t="str">
        <x:v>NO</x:v>
      </x:c>
      <x:c r="N64" s="22" t="n">
        <x:v>0</x:v>
      </x:c>
      <x:c r="O64" s="20" t="str">
        <x:v>IMG11</x:v>
      </x:c>
      <x:c r="P64" s="20" t="str"/>
      <x:c r="Q64" s="20" t="str">
        <x:v>To From Pants | Cherry Purple/Reset Pink | L</x:v>
      </x:c>
    </x:row>
    <x:row r="65">
      <x:c r="A65" s="22" t="n">
        <x:v>63</x:v>
      </x:c>
      <x:c r="B65" s="20" t="str">
        <x:v>GYMSHARK</x:v>
      </x:c>
      <x:c r="C65" s="20" t="str">
        <x:v>To From Pants</x:v>
      </x:c>
      <x:c r="D65" s="20" t="str">
        <x:v>PANTS</x:v>
      </x:c>
      <x:c r="E65" s="20" t="str">
        <x:v>Cherry Purple/Reset Pink</x:v>
      </x:c>
      <x:c r="F65" s="20" t="str">
        <x:v>S</x:v>
      </x:c>
      <x:c r="G65" s="50" t="n">
        <x:v>1</x:v>
      </x:c>
      <x:c r="H65" s="50" t="n">
        <x:v>22.4</x:v>
      </x:c>
      <x:c r="I65" s="50" t="n">
        <x:v>22.4</x:v>
      </x:c>
      <x:c r="J65" s="50" t="n">
        <x:v>22.4</x:v>
      </x:c>
      <x:c r="K65" s="20" t="str">
        <x:v>EN_TRANSITO</x:v>
      </x:c>
      <x:c r="L65" s="20" t="str">
        <x:v>PENDIENTE</x:v>
      </x:c>
      <x:c r="M65" s="20" t="str">
        <x:v>NO</x:v>
      </x:c>
      <x:c r="N65" s="22" t="n">
        <x:v>0</x:v>
      </x:c>
      <x:c r="O65" s="20" t="str">
        <x:v>IMG11</x:v>
      </x:c>
      <x:c r="P65" s="20" t="str"/>
      <x:c r="Q65" s="20" t="str">
        <x:v>To From Pants | Cherry Purple/Reset Pink | S</x:v>
      </x:c>
    </x:row>
    <x:row r="66">
      <x:c r="A66" s="22" t="n">
        <x:v>64</x:v>
      </x:c>
      <x:c r="B66" s="20" t="str">
        <x:v>GYMSHARK</x:v>
      </x:c>
      <x:c r="C66" s="20" t="str">
        <x:v>Relay Seamless Midi Tank</x:v>
      </x:c>
      <x:c r="D66" s="20" t="str">
        <x:v>TOPS / TANK</x:v>
      </x:c>
      <x:c r="E66" s="20" t="str">
        <x:v>Black</x:v>
      </x:c>
      <x:c r="F66" s="20" t="str">
        <x:v>S</x:v>
      </x:c>
      <x:c r="G66" s="50" t="n">
        <x:v>2</x:v>
      </x:c>
      <x:c r="H66" s="50" t="n">
        <x:v>46</x:v>
      </x:c>
      <x:c r="I66" s="50" t="n">
        <x:v>23</x:v>
      </x:c>
      <x:c r="J66" s="50" t="n">
        <x:v>46</x:v>
      </x:c>
      <x:c r="K66" s="20" t="str">
        <x:v>EN_TRANSITO</x:v>
      </x:c>
      <x:c r="L66" s="20" t="str">
        <x:v>PENDIENTE</x:v>
      </x:c>
      <x:c r="M66" s="20" t="str">
        <x:v>NO</x:v>
      </x:c>
      <x:c r="N66" s="22" t="n">
        <x:v>0</x:v>
      </x:c>
      <x:c r="O66" s="20" t="str">
        <x:v>IMG11</x:v>
      </x:c>
      <x:c r="P66" s="20" t="str"/>
      <x:c r="Q66" s="20" t="str">
        <x:v>Relay Seamless Midi Tank | Black | S</x:v>
      </x:c>
    </x:row>
    <x:row r="67">
      <x:c r="A67" s="22" t="n">
        <x:v>65</x:v>
      </x:c>
      <x:c r="B67" s="20" t="str">
        <x:v>GYMSHARK</x:v>
      </x:c>
      <x:c r="C67" s="20" t="str">
        <x:v>Relay Seamless Midi Tank</x:v>
      </x:c>
      <x:c r="D67" s="20" t="str">
        <x:v>TOPS / TANK</x:v>
      </x:c>
      <x:c r="E67" s="20" t="str">
        <x:v>Black</x:v>
      </x:c>
      <x:c r="F67" s="20" t="str">
        <x:v>M</x:v>
      </x:c>
      <x:c r="G67" s="50" t="n">
        <x:v>2</x:v>
      </x:c>
      <x:c r="H67" s="50" t="n">
        <x:v>46</x:v>
      </x:c>
      <x:c r="I67" s="50" t="n">
        <x:v>23</x:v>
      </x:c>
      <x:c r="J67" s="50" t="n">
        <x:v>46</x:v>
      </x:c>
      <x:c r="K67" s="20" t="str">
        <x:v>EN_TRANSITO</x:v>
      </x:c>
      <x:c r="L67" s="20" t="str">
        <x:v>PENDIENTE</x:v>
      </x:c>
      <x:c r="M67" s="20" t="str">
        <x:v>NO</x:v>
      </x:c>
      <x:c r="N67" s="22" t="n">
        <x:v>0</x:v>
      </x:c>
      <x:c r="O67" s="20" t="str">
        <x:v>IMG11</x:v>
      </x:c>
      <x:c r="P67" s="20" t="str"/>
      <x:c r="Q67" s="20" t="str">
        <x:v>Relay Seamless Midi Tank | Black | M</x:v>
      </x:c>
    </x:row>
    <x:row r="68">
      <x:c r="A68" s="22" t="n">
        <x:v>66</x:v>
      </x:c>
      <x:c r="B68" s="20" t="str">
        <x:v>GYMSHARK</x:v>
      </x:c>
      <x:c r="C68" s="20" t="str">
        <x:v>Lightweight Tricot Wide Leg Pants</x:v>
      </x:c>
      <x:c r="D68" s="20" t="str">
        <x:v>PANTS</x:v>
      </x:c>
      <x:c r="E68" s="20" t="str">
        <x:v>Tinted White/Cherry Purple</x:v>
      </x:c>
      <x:c r="F68" s="20" t="str">
        <x:v>XS</x:v>
      </x:c>
      <x:c r="G68" s="50" t="n">
        <x:v>2</x:v>
      </x:c>
      <x:c r="H68" s="50" t="n">
        <x:v>48</x:v>
      </x:c>
      <x:c r="I68" s="50" t="n">
        <x:v>24</x:v>
      </x:c>
      <x:c r="J68" s="50" t="n">
        <x:v>48</x:v>
      </x:c>
      <x:c r="K68" s="20" t="str">
        <x:v>EN_TRANSITO</x:v>
      </x:c>
      <x:c r="L68" s="20" t="str">
        <x:v>PENDIENTE</x:v>
      </x:c>
      <x:c r="M68" s="20" t="str">
        <x:v>NO</x:v>
      </x:c>
      <x:c r="N68" s="22" t="n">
        <x:v>0</x:v>
      </x:c>
      <x:c r="O68" s="20" t="str">
        <x:v>IMG12</x:v>
      </x:c>
      <x:c r="P68" s="20" t="str"/>
      <x:c r="Q68" s="20" t="str">
        <x:v>Lightweight Tricot Wide Leg Pants | Tinted White/Cherry Purple | XS</x:v>
      </x:c>
    </x:row>
    <x:row r="69">
      <x:c r="A69" s="22" t="n">
        <x:v>67</x:v>
      </x:c>
      <x:c r="B69" s="20" t="str">
        <x:v>GYMSHARK</x:v>
      </x:c>
      <x:c r="C69" s="20" t="str">
        <x:v>Lightweight Tricot Wide Leg Pants</x:v>
      </x:c>
      <x:c r="D69" s="20" t="str">
        <x:v>PANTS</x:v>
      </x:c>
      <x:c r="E69" s="20" t="str">
        <x:v>Tinted White/Cherry Purple</x:v>
      </x:c>
      <x:c r="F69" s="20" t="str">
        <x:v>S</x:v>
      </x:c>
      <x:c r="G69" s="50" t="n">
        <x:v>2</x:v>
      </x:c>
      <x:c r="H69" s="50" t="n">
        <x:v>48</x:v>
      </x:c>
      <x:c r="I69" s="50" t="n">
        <x:v>24</x:v>
      </x:c>
      <x:c r="J69" s="50" t="n">
        <x:v>48</x:v>
      </x:c>
      <x:c r="K69" s="20" t="str">
        <x:v>EN_TRANSITO</x:v>
      </x:c>
      <x:c r="L69" s="20" t="str">
        <x:v>PENDIENTE</x:v>
      </x:c>
      <x:c r="M69" s="20" t="str">
        <x:v>NO</x:v>
      </x:c>
      <x:c r="N69" s="22" t="n">
        <x:v>0</x:v>
      </x:c>
      <x:c r="O69" s="20" t="str">
        <x:v>IMG12</x:v>
      </x:c>
      <x:c r="P69" s="20" t="str"/>
      <x:c r="Q69" s="20" t="str">
        <x:v>Lightweight Tricot Wide Leg Pants | Tinted White/Cherry Purple | S</x:v>
      </x:c>
    </x:row>
    <x:row r="70">
      <x:c r="A70" s="22" t="n">
        <x:v>68</x:v>
      </x:c>
      <x:c r="B70" s="20" t="str">
        <x:v>GYMSHARK</x:v>
      </x:c>
      <x:c r="C70" s="20" t="str">
        <x:v>Lightweight Tricot Wide Leg Pants</x:v>
      </x:c>
      <x:c r="D70" s="20" t="str">
        <x:v>PANTS</x:v>
      </x:c>
      <x:c r="E70" s="20" t="str">
        <x:v>Black/Tinted White</x:v>
      </x:c>
      <x:c r="F70" s="20" t="str">
        <x:v>XS</x:v>
      </x:c>
      <x:c r="G70" s="50" t="n">
        <x:v>2</x:v>
      </x:c>
      <x:c r="H70" s="50" t="n">
        <x:v>48</x:v>
      </x:c>
      <x:c r="I70" s="50" t="n">
        <x:v>24</x:v>
      </x:c>
      <x:c r="J70" s="50" t="n">
        <x:v>48</x:v>
      </x:c>
      <x:c r="K70" s="20" t="str">
        <x:v>EN_TRANSITO</x:v>
      </x:c>
      <x:c r="L70" s="20" t="str">
        <x:v>PENDIENTE</x:v>
      </x:c>
      <x:c r="M70" s="20" t="str">
        <x:v>NO</x:v>
      </x:c>
      <x:c r="N70" s="22" t="n">
        <x:v>0</x:v>
      </x:c>
      <x:c r="O70" s="20" t="str">
        <x:v>IMG12</x:v>
      </x:c>
      <x:c r="P70" s="20" t="str"/>
      <x:c r="Q70" s="20" t="str">
        <x:v>Lightweight Tricot Wide Leg Pants | Black/Tinted White | XS</x:v>
      </x:c>
    </x:row>
    <x:row r="71">
      <x:c r="A71" s="22" t="n">
        <x:v>69</x:v>
      </x:c>
      <x:c r="B71" s="20" t="str">
        <x:v>GYMSHARK</x:v>
      </x:c>
      <x:c r="C71" s="20" t="str">
        <x:v>Lightweight Tricot Wide Leg Pants</x:v>
      </x:c>
      <x:c r="D71" s="20" t="str">
        <x:v>PANTS</x:v>
      </x:c>
      <x:c r="E71" s="20" t="str">
        <x:v>Black/Tinted White</x:v>
      </x:c>
      <x:c r="F71" s="20" t="str">
        <x:v>S</x:v>
      </x:c>
      <x:c r="G71" s="50" t="n">
        <x:v>2</x:v>
      </x:c>
      <x:c r="H71" s="50" t="n">
        <x:v>48</x:v>
      </x:c>
      <x:c r="I71" s="50" t="n">
        <x:v>24</x:v>
      </x:c>
      <x:c r="J71" s="50" t="n">
        <x:v>48</x:v>
      </x:c>
      <x:c r="K71" s="20" t="str">
        <x:v>EN_TRANSITO</x:v>
      </x:c>
      <x:c r="L71" s="20" t="str">
        <x:v>PENDIENTE</x:v>
      </x:c>
      <x:c r="M71" s="20" t="str">
        <x:v>NO</x:v>
      </x:c>
      <x:c r="N71" s="22" t="n">
        <x:v>0</x:v>
      </x:c>
      <x:c r="O71" s="20" t="str">
        <x:v>IMG12</x:v>
      </x:c>
      <x:c r="P71" s="20" t="str"/>
      <x:c r="Q71" s="20" t="str">
        <x:v>Lightweight Tricot Wide Leg Pants | Black/Tinted White | S</x:v>
      </x:c>
    </x:row>
    <x:row r="72">
      <x:c r="A72" s="22" t="n">
        <x:v>70</x:v>
      </x:c>
      <x:c r="B72" s="20" t="str">
        <x:v>GYMSHARK</x:v>
      </x:c>
      <x:c r="C72" s="20" t="str">
        <x:v>Halter Bralette</x:v>
      </x:c>
      <x:c r="D72" s="20" t="str">
        <x:v>TOPS / SPORTS BRA</x:v>
      </x:c>
      <x:c r="E72" s="20" t="str">
        <x:v>Black</x:v>
      </x:c>
      <x:c r="F72" s="20" t="str">
        <x:v>S</x:v>
      </x:c>
      <x:c r="G72" s="50" t="n">
        <x:v>2</x:v>
      </x:c>
      <x:c r="H72" s="50" t="n">
        <x:v>44</x:v>
      </x:c>
      <x:c r="I72" s="50" t="n">
        <x:v>22</x:v>
      </x:c>
      <x:c r="J72" s="50" t="n">
        <x:v>44</x:v>
      </x:c>
      <x:c r="K72" s="20" t="str">
        <x:v>EN_TRANSITO</x:v>
      </x:c>
      <x:c r="L72" s="20" t="str">
        <x:v>PENDIENTE</x:v>
      </x:c>
      <x:c r="M72" s="20" t="str">
        <x:v>NO</x:v>
      </x:c>
      <x:c r="N72" s="22" t="n">
        <x:v>0</x:v>
      </x:c>
      <x:c r="O72" s="20" t="str">
        <x:v>IMG12</x:v>
      </x:c>
      <x:c r="P72" s="20" t="str"/>
      <x:c r="Q72" s="20" t="str">
        <x:v>Halter Bralette | Black | S</x:v>
      </x:c>
    </x:row>
    <x:row r="73">
      <x:c r="A73" s="22" t="n">
        <x:v>71</x:v>
      </x:c>
      <x:c r="B73" s="20" t="str">
        <x:v>GYMSHARK</x:v>
      </x:c>
      <x:c r="C73" s="20" t="str">
        <x:v>Halter Bralette</x:v>
      </x:c>
      <x:c r="D73" s="20" t="str">
        <x:v>TOPS / SPORTS BRA</x:v>
      </x:c>
      <x:c r="E73" s="20" t="str">
        <x:v>Black</x:v>
      </x:c>
      <x:c r="F73" s="20" t="str">
        <x:v>M</x:v>
      </x:c>
      <x:c r="G73" s="50" t="n">
        <x:v>2</x:v>
      </x:c>
      <x:c r="H73" s="50" t="n">
        <x:v>44</x:v>
      </x:c>
      <x:c r="I73" s="50" t="n">
        <x:v>22</x:v>
      </x:c>
      <x:c r="J73" s="50" t="n">
        <x:v>44</x:v>
      </x:c>
      <x:c r="K73" s="20" t="str">
        <x:v>EN_TRANSITO</x:v>
      </x:c>
      <x:c r="L73" s="20" t="str">
        <x:v>PENDIENTE</x:v>
      </x:c>
      <x:c r="M73" s="20" t="str">
        <x:v>NO</x:v>
      </x:c>
      <x:c r="N73" s="22" t="n">
        <x:v>0</x:v>
      </x:c>
      <x:c r="O73" s="20" t="str">
        <x:v>IMG12</x:v>
      </x:c>
      <x:c r="P73" s="20" t="str"/>
      <x:c r="Q73" s="20" t="str">
        <x:v>Halter Bralette | Black | M</x:v>
      </x:c>
    </x:row>
    <x:row r="74">
      <x:c r="A74" s="22" t="n">
        <x:v>72</x:v>
      </x:c>
      <x:c r="B74" s="20" t="str">
        <x:v>GYMSHARK</x:v>
      </x:c>
      <x:c r="C74" s="20" t="str">
        <x:v>Everyday Seamless Ribbed Tank</x:v>
      </x:c>
      <x:c r="D74" s="20" t="str">
        <x:v>TOPS / TANK</x:v>
      </x:c>
      <x:c r="E74" s="20" t="str">
        <x:v>Super-Set Pink</x:v>
      </x:c>
      <x:c r="F74" s="20" t="str">
        <x:v>S</x:v>
      </x:c>
      <x:c r="G74" s="50" t="n">
        <x:v>2</x:v>
      </x:c>
      <x:c r="H74" s="50" t="n">
        <x:v>28</x:v>
      </x:c>
      <x:c r="I74" s="50" t="n">
        <x:v>14</x:v>
      </x:c>
      <x:c r="J74" s="50" t="n">
        <x:v>28</x:v>
      </x:c>
      <x:c r="K74" s="20" t="str">
        <x:v>EN_TRANSITO</x:v>
      </x:c>
      <x:c r="L74" s="20" t="str">
        <x:v>PENDIENTE</x:v>
      </x:c>
      <x:c r="M74" s="20" t="str">
        <x:v>NO</x:v>
      </x:c>
      <x:c r="N74" s="22" t="n">
        <x:v>0</x:v>
      </x:c>
      <x:c r="O74" s="20" t="str">
        <x:v>IMG12</x:v>
      </x:c>
      <x:c r="P74" s="20" t="str"/>
      <x:c r="Q74" s="20" t="str">
        <x:v>Everyday Seamless Ribbed Tank | Super-Set Pink | S</x:v>
      </x:c>
    </x:row>
    <x:row r="75">
      <x:c r="A75" s="22" t="n">
        <x:v>73</x:v>
      </x:c>
      <x:c r="B75" s="20" t="str">
        <x:v>GYMSHARK</x:v>
      </x:c>
      <x:c r="C75" s="20" t="str">
        <x:v>Everyday Seamless Ribbed Tank</x:v>
      </x:c>
      <x:c r="D75" s="20" t="str">
        <x:v>TOPS / TANK</x:v>
      </x:c>
      <x:c r="E75" s="20" t="str">
        <x:v>Super-Set Pink</x:v>
      </x:c>
      <x:c r="F75" s="20" t="str">
        <x:v>M</x:v>
      </x:c>
      <x:c r="G75" s="22" t="n">
        <x:v>2</x:v>
      </x:c>
      <x:c r="H75" s="24" t="n">
        <x:v>28</x:v>
      </x:c>
      <x:c r="I75" s="24" t="n">
        <x:v>14</x:v>
      </x:c>
      <x:c r="J75" s="24" t="n">
        <x:v>28</x:v>
      </x:c>
      <x:c r="K75" s="20" t="str">
        <x:v>EN_TRANSITO</x:v>
      </x:c>
      <x:c r="L75" s="20" t="str">
        <x:v>PENDIENTE</x:v>
      </x:c>
      <x:c r="M75" s="20" t="str">
        <x:v>NO</x:v>
      </x:c>
      <x:c r="N75" s="22" t="n">
        <x:v>0</x:v>
      </x:c>
      <x:c r="O75" s="20" t="str">
        <x:v>IMG13</x:v>
      </x:c>
      <x:c r="P75" s="20" t="str">
        <x:v>Precio mostrado con Qty 2; unitario estimado = precio/qty.</x:v>
      </x:c>
      <x:c r="Q75" s="20" t="str">
        <x:v>Everyday Seamless Ribbed Tank | Super-Set Pink | M</x:v>
      </x:c>
    </x:row>
    <x:row r="76">
      <x:c r="A76" s="22" t="n">
        <x:v>74</x:v>
      </x:c>
      <x:c r="B76" s="20" t="str">
        <x:v>GYMSHARK</x:v>
      </x:c>
      <x:c r="C76" s="20" t="str">
        <x:v>Everyday Seamless Ribbed Tank</x:v>
      </x:c>
      <x:c r="D76" s="20" t="str">
        <x:v>TOPS / TANK</x:v>
      </x:c>
      <x:c r="E76" s="20" t="str">
        <x:v>Super-Set Pink</x:v>
      </x:c>
      <x:c r="F76" s="20" t="str">
        <x:v>XS</x:v>
      </x:c>
      <x:c r="G76" s="22" t="n">
        <x:v>1</x:v>
      </x:c>
      <x:c r="H76" s="24" t="n">
        <x:v>14</x:v>
      </x:c>
      <x:c r="I76" s="24" t="n">
        <x:v>14</x:v>
      </x:c>
      <x:c r="J76" s="24" t="n">
        <x:v>14</x:v>
      </x:c>
      <x:c r="K76" s="20" t="str">
        <x:v>EN_TRANSITO</x:v>
      </x:c>
      <x:c r="L76" s="20" t="str">
        <x:v>PENDIENTE</x:v>
      </x:c>
      <x:c r="M76" s="20" t="str">
        <x:v>NO</x:v>
      </x:c>
      <x:c r="N76" s="22" t="n">
        <x:v>0</x:v>
      </x:c>
      <x:c r="O76" s="20" t="str">
        <x:v>IMG13</x:v>
      </x:c>
      <x:c r="P76" s="20"/>
      <x:c r="Q76" s="20" t="str">
        <x:v>Everyday Seamless Ribbed Tank | Super-Set Pink | XS</x:v>
      </x:c>
    </x:row>
    <x:row r="77">
      <x:c r="A77" s="22" t="n">
        <x:v>75</x:v>
      </x:c>
      <x:c r="B77" s="20" t="str">
        <x:v>GYMSHARK</x:v>
      </x:c>
      <x:c r="C77" s="20" t="str">
        <x:v>Adapt Fleck Seamless Shorts</x:v>
      </x:c>
      <x:c r="D77" s="20" t="str">
        <x:v>SHORTS</x:v>
      </x:c>
      <x:c r="E77" s="20" t="str">
        <x:v>Force Blue/Steady Purple</x:v>
      </x:c>
      <x:c r="F77" s="20" t="str">
        <x:v>S</x:v>
      </x:c>
      <x:c r="G77" s="22" t="n">
        <x:v>2</x:v>
      </x:c>
      <x:c r="H77" s="24" t="n">
        <x:v>35.2</x:v>
      </x:c>
      <x:c r="I77" s="24" t="n">
        <x:v>17.6</x:v>
      </x:c>
      <x:c r="J77" s="24" t="n">
        <x:v>35.2</x:v>
      </x:c>
      <x:c r="K77" s="20" t="str">
        <x:v>EN_TRANSITO</x:v>
      </x:c>
      <x:c r="L77" s="20" t="str">
        <x:v>PENDIENTE</x:v>
      </x:c>
      <x:c r="M77" s="20" t="str">
        <x:v>NO</x:v>
      </x:c>
      <x:c r="N77" s="22" t="n">
        <x:v>0</x:v>
      </x:c>
      <x:c r="O77" s="20" t="str">
        <x:v>IMG13</x:v>
      </x:c>
      <x:c r="P77" s="20" t="str">
        <x:v>Precio mostrado con Qty 2; unitario estimado = precio/qty.</x:v>
      </x:c>
      <x:c r="Q77" s="20" t="str">
        <x:v>Adapt Fleck Seamless Shorts | Force Blue/Steady Purple | S</x:v>
      </x:c>
    </x:row>
    <x:row r="78">
      <x:c r="A78" s="22" t="n">
        <x:v>76</x:v>
      </x:c>
      <x:c r="B78" s="20" t="str">
        <x:v>GYMSHARK</x:v>
      </x:c>
      <x:c r="C78" s="20" t="str">
        <x:v>Adapt Fleck Seamless Shorts</x:v>
      </x:c>
      <x:c r="D78" s="20" t="str">
        <x:v>SHORTS</x:v>
      </x:c>
      <x:c r="E78" s="20" t="str">
        <x:v>Force Blue/Steady Purple</x:v>
      </x:c>
      <x:c r="F78" s="20" t="str">
        <x:v>M</x:v>
      </x:c>
      <x:c r="G78" s="22" t="n">
        <x:v>2</x:v>
      </x:c>
      <x:c r="H78" s="24" t="n">
        <x:v>35.2</x:v>
      </x:c>
      <x:c r="I78" s="24" t="n">
        <x:v>17.6</x:v>
      </x:c>
      <x:c r="J78" s="24" t="n">
        <x:v>35.2</x:v>
      </x:c>
      <x:c r="K78" s="20" t="str">
        <x:v>EN_TRANSITO</x:v>
      </x:c>
      <x:c r="L78" s="20" t="str">
        <x:v>PENDIENTE</x:v>
      </x:c>
      <x:c r="M78" s="20" t="str">
        <x:v>NO</x:v>
      </x:c>
      <x:c r="N78" s="22" t="n">
        <x:v>0</x:v>
      </x:c>
      <x:c r="O78" s="20" t="str">
        <x:v>IMG13</x:v>
      </x:c>
      <x:c r="P78" s="20" t="str">
        <x:v>Precio mostrado con Qty 2; unitario estimado = precio/qty.</x:v>
      </x:c>
      <x:c r="Q78" s="20" t="str">
        <x:v>Adapt Fleck Seamless Shorts | Force Blue/Steady Purple | M</x:v>
      </x:c>
    </x:row>
    <x:row r="79">
      <x:c r="A79" s="22" t="n">
        <x:v>77</x:v>
      </x:c>
      <x:c r="B79" s="20" t="str">
        <x:v>GYMSHARK</x:v>
      </x:c>
      <x:c r="C79" s="20" t="str">
        <x:v>Adapt Fleck Seamless Shorts</x:v>
      </x:c>
      <x:c r="D79" s="20" t="str">
        <x:v>SHORTS</x:v>
      </x:c>
      <x:c r="E79" s="20" t="str">
        <x:v>Focus Pink/Tinted White</x:v>
      </x:c>
      <x:c r="F79" s="20" t="str">
        <x:v>S</x:v>
      </x:c>
      <x:c r="G79" s="22" t="n">
        <x:v>2</x:v>
      </x:c>
      <x:c r="H79" s="24" t="n">
        <x:v>35.2</x:v>
      </x:c>
      <x:c r="I79" s="24" t="n">
        <x:v>17.6</x:v>
      </x:c>
      <x:c r="J79" s="24" t="n">
        <x:v>35.2</x:v>
      </x:c>
      <x:c r="K79" s="20" t="str">
        <x:v>EN_TRANSITO</x:v>
      </x:c>
      <x:c r="L79" s="20" t="str">
        <x:v>PENDIENTE</x:v>
      </x:c>
      <x:c r="M79" s="20" t="str">
        <x:v>NO</x:v>
      </x:c>
      <x:c r="N79" s="22" t="n">
        <x:v>0</x:v>
      </x:c>
      <x:c r="O79" s="20" t="str">
        <x:v>IMG13</x:v>
      </x:c>
      <x:c r="P79" s="20" t="str">
        <x:v>Precio mostrado con Qty 2; unitario estimado = precio/qty.</x:v>
      </x:c>
      <x:c r="Q79" s="20" t="str">
        <x:v>Adapt Fleck Seamless Shorts | Focus Pink/Tinted White | S</x:v>
      </x:c>
    </x:row>
    <x:row r="80">
      <x:c r="A80" s="22" t="n">
        <x:v>78</x:v>
      </x:c>
      <x:c r="B80" s="20" t="str">
        <x:v>GYMSHARK</x:v>
      </x:c>
      <x:c r="C80" s="20" t="str">
        <x:v>Adapt Fleck Seamless Shorts</x:v>
      </x:c>
      <x:c r="D80" s="20" t="str">
        <x:v>SHORTS</x:v>
      </x:c>
      <x:c r="E80" s="20" t="str">
        <x:v>Focus Pink/Tinted White</x:v>
      </x:c>
      <x:c r="F80" s="20" t="str">
        <x:v>M</x:v>
      </x:c>
      <x:c r="G80" s="22" t="n">
        <x:v>2</x:v>
      </x:c>
      <x:c r="H80" s="24" t="n">
        <x:v>35.2</x:v>
      </x:c>
      <x:c r="I80" s="24" t="n">
        <x:v>17.6</x:v>
      </x:c>
      <x:c r="J80" s="24" t="n">
        <x:v>35.2</x:v>
      </x:c>
      <x:c r="K80" s="20" t="str">
        <x:v>EN_TRANSITO</x:v>
      </x:c>
      <x:c r="L80" s="20" t="str">
        <x:v>PENDIENTE</x:v>
      </x:c>
      <x:c r="M80" s="20" t="str">
        <x:v>NO</x:v>
      </x:c>
      <x:c r="N80" s="22" t="n">
        <x:v>0</x:v>
      </x:c>
      <x:c r="O80" s="20" t="str">
        <x:v>IMG13</x:v>
      </x:c>
      <x:c r="P80" s="20" t="str">
        <x:v>Precio mostrado con Qty 2; unitario estimado = precio/qty.</x:v>
      </x:c>
      <x:c r="Q80" s="20" t="str">
        <x:v>Adapt Fleck Seamless Shorts | Focus Pink/Tinted White | M</x:v>
      </x:c>
    </x:row>
    <x:row r="81">
      <x:c r="A81" s="22" t="n">
        <x:v>79</x:v>
      </x:c>
      <x:c r="B81" s="20" t="str">
        <x:v>GYMSHARK</x:v>
      </x:c>
      <x:c r="C81" s="20" t="str">
        <x:v>Adapt Fleck Seamless Shorts</x:v>
      </x:c>
      <x:c r="D81" s="20" t="str">
        <x:v>SHORTS</x:v>
      </x:c>
      <x:c r="E81" s="20" t="str">
        <x:v>Black/Smokey Grey</x:v>
      </x:c>
      <x:c r="F81" s="20" t="str">
        <x:v>S</x:v>
      </x:c>
      <x:c r="G81" s="22" t="n">
        <x:v>1</x:v>
      </x:c>
      <x:c r="H81" s="24" t="n">
        <x:v>17.6</x:v>
      </x:c>
      <x:c r="I81" s="24" t="n">
        <x:v>17.6</x:v>
      </x:c>
      <x:c r="J81" s="24" t="n">
        <x:v>17.6</x:v>
      </x:c>
      <x:c r="K81" s="20" t="str">
        <x:v>EN_TRANSITO</x:v>
      </x:c>
      <x:c r="L81" s="20" t="str">
        <x:v>PENDIENTE</x:v>
      </x:c>
      <x:c r="M81" s="20" t="str">
        <x:v>NO</x:v>
      </x:c>
      <x:c r="N81" s="22" t="n">
        <x:v>0</x:v>
      </x:c>
      <x:c r="O81" s="20" t="str">
        <x:v>IMG13</x:v>
      </x:c>
      <x:c r="P81" s="20"/>
      <x:c r="Q81" s="20" t="str">
        <x:v>Adapt Fleck Seamless Shorts | Black/Smokey Grey | S</x:v>
      </x:c>
    </x:row>
    <x:row r="82">
      <x:c r="A82" s="22" t="n">
        <x:v>80</x:v>
      </x:c>
      <x:c r="B82" s="20" t="str">
        <x:v>GYMSHARK</x:v>
      </x:c>
      <x:c r="C82" s="20" t="str">
        <x:v>Light Support Minimal Halterneck Bra</x:v>
      </x:c>
      <x:c r="D82" s="20" t="str">
        <x:v>TOPS / SPORTS BRA</x:v>
      </x:c>
      <x:c r="E82" s="20" t="str">
        <x:v>Super-Set Pink</x:v>
      </x:c>
      <x:c r="F82" s="20" t="str">
        <x:v>S</x:v>
      </x:c>
      <x:c r="G82" s="22" t="n">
        <x:v>2</x:v>
      </x:c>
      <x:c r="H82" s="24" t="n">
        <x:v>30</x:v>
      </x:c>
      <x:c r="I82" s="24" t="n">
        <x:v>15</x:v>
      </x:c>
      <x:c r="J82" s="24" t="n">
        <x:v>30</x:v>
      </x:c>
      <x:c r="K82" s="20" t="str">
        <x:v>EN_TRANSITO</x:v>
      </x:c>
      <x:c r="L82" s="20" t="str">
        <x:v>PENDIENTE</x:v>
      </x:c>
      <x:c r="M82" s="20" t="str">
        <x:v>NO</x:v>
      </x:c>
      <x:c r="N82" s="22" t="n">
        <x:v>0</x:v>
      </x:c>
      <x:c r="O82" s="20" t="str">
        <x:v>IMG14</x:v>
      </x:c>
      <x:c r="P82" s="20" t="str">
        <x:v>Precio mostrado con Qty 2; unitario estimado = precio/qty.</x:v>
      </x:c>
      <x:c r="Q82" s="20" t="str">
        <x:v>Light Support Minimal Halterneck Bra | Super-Set Pink | S</x:v>
      </x:c>
    </x:row>
    <x:row r="83">
      <x:c r="A83" s="22" t="n">
        <x:v>81</x:v>
      </x:c>
      <x:c r="B83" s="20" t="str">
        <x:v>GYMSHARK</x:v>
      </x:c>
      <x:c r="C83" s="20" t="str">
        <x:v>Light Support Minimal Halterneck Bra</x:v>
      </x:c>
      <x:c r="D83" s="20" t="str">
        <x:v>TOPS / SPORTS BRA</x:v>
      </x:c>
      <x:c r="E83" s="20" t="str">
        <x:v>Super-Set Pink</x:v>
      </x:c>
      <x:c r="F83" s="20" t="str">
        <x:v>M</x:v>
      </x:c>
      <x:c r="G83" s="22" t="n">
        <x:v>2</x:v>
      </x:c>
      <x:c r="H83" s="24" t="n">
        <x:v>30</x:v>
      </x:c>
      <x:c r="I83" s="24" t="n">
        <x:v>15</x:v>
      </x:c>
      <x:c r="J83" s="24" t="n">
        <x:v>30</x:v>
      </x:c>
      <x:c r="K83" s="20" t="str">
        <x:v>EN_TRANSITO</x:v>
      </x:c>
      <x:c r="L83" s="20" t="str">
        <x:v>PENDIENTE</x:v>
      </x:c>
      <x:c r="M83" s="20" t="str">
        <x:v>NO</x:v>
      </x:c>
      <x:c r="N83" s="22" t="n">
        <x:v>0</x:v>
      </x:c>
      <x:c r="O83" s="20" t="str">
        <x:v>IMG14</x:v>
      </x:c>
      <x:c r="P83" s="20" t="str">
        <x:v>Precio mostrado con Qty 2; unitario estimado = precio/qty.</x:v>
      </x:c>
      <x:c r="Q83" s="20" t="str">
        <x:v>Light Support Minimal Halterneck Bra | Super-Set Pink | M</x:v>
      </x:c>
    </x:row>
    <x:row r="84">
      <x:c r="A84" s="22" t="n">
        <x:v>82</x:v>
      </x:c>
      <x:c r="B84" s="20" t="str">
        <x:v>GYMSHARK</x:v>
      </x:c>
      <x:c r="C84" s="20" t="str">
        <x:v>Power Washed Joggers</x:v>
      </x:c>
      <x:c r="D84" s="20" t="str">
        <x:v>JOGGERS / PANTS</x:v>
      </x:c>
      <x:c r="E84" s="20" t="str">
        <x:v>Cherry Purple/Wash</x:v>
      </x:c>
      <x:c r="F84" s="20" t="str">
        <x:v>XS</x:v>
      </x:c>
      <x:c r="G84" s="22" t="n">
        <x:v>3</x:v>
      </x:c>
      <x:c r="H84" s="24" t="n">
        <x:v>84</x:v>
      </x:c>
      <x:c r="I84" s="24" t="n">
        <x:v>28</x:v>
      </x:c>
      <x:c r="J84" s="24" t="n">
        <x:v>84</x:v>
      </x:c>
      <x:c r="K84" s="20" t="str">
        <x:v>EN_TRANSITO</x:v>
      </x:c>
      <x:c r="L84" s="20" t="str">
        <x:v>PENDIENTE</x:v>
      </x:c>
      <x:c r="M84" s="20" t="str">
        <x:v>NO</x:v>
      </x:c>
      <x:c r="N84" s="22" t="n">
        <x:v>0</x:v>
      </x:c>
      <x:c r="O84" s="20" t="str">
        <x:v>IMG14</x:v>
      </x:c>
      <x:c r="P84" s="20" t="str">
        <x:v>Precio mostrado con Qty 3; unitario estimado = precio/qty.</x:v>
      </x:c>
      <x:c r="Q84" s="20" t="str">
        <x:v>Power Washed Joggers | Cherry Purple/Wash | XS</x:v>
      </x:c>
    </x:row>
    <x:row r="85">
      <x:c r="A85" s="22" t="n">
        <x:v>83</x:v>
      </x:c>
      <x:c r="B85" s="20" t="str">
        <x:v>GYMSHARK</x:v>
      </x:c>
      <x:c r="C85" s="20" t="str">
        <x:v>Power Washed Joggers</x:v>
      </x:c>
      <x:c r="D85" s="20" t="str">
        <x:v>JOGGERS / PANTS</x:v>
      </x:c>
      <x:c r="E85" s="20" t="str">
        <x:v>Cherry Purple/Wash</x:v>
      </x:c>
      <x:c r="F85" s="20" t="str">
        <x:v>S</x:v>
      </x:c>
      <x:c r="G85" s="22" t="n">
        <x:v>2</x:v>
      </x:c>
      <x:c r="H85" s="24" t="n">
        <x:v>56</x:v>
      </x:c>
      <x:c r="I85" s="24" t="n">
        <x:v>28</x:v>
      </x:c>
      <x:c r="J85" s="24" t="n">
        <x:v>56</x:v>
      </x:c>
      <x:c r="K85" s="20" t="str">
        <x:v>EN_TRANSITO</x:v>
      </x:c>
      <x:c r="L85" s="20" t="str">
        <x:v>PENDIENTE</x:v>
      </x:c>
      <x:c r="M85" s="20" t="str">
        <x:v>NO</x:v>
      </x:c>
      <x:c r="N85" s="22" t="n">
        <x:v>0</x:v>
      </x:c>
      <x:c r="O85" s="20" t="str">
        <x:v>IMG14</x:v>
      </x:c>
      <x:c r="P85" s="20" t="str">
        <x:v>Precio mostrado con Qty 2; unitario estimado = precio/qty.</x:v>
      </x:c>
      <x:c r="Q85" s="20" t="str">
        <x:v>Power Washed Joggers | Cherry Purple/Wash | S</x:v>
      </x:c>
    </x:row>
    <x:row r="86">
      <x:c r="A86" s="22" t="n">
        <x:v>84</x:v>
      </x:c>
      <x:c r="B86" s="20" t="str">
        <x:v>GYMSHARK</x:v>
      </x:c>
      <x:c r="C86" s="20" t="str">
        <x:v>Power Washed Joggers</x:v>
      </x:c>
      <x:c r="D86" s="20" t="str">
        <x:v>JOGGERS / PANTS</x:v>
      </x:c>
      <x:c r="E86" s="20" t="str">
        <x:v>Cherry Purple/Wash</x:v>
      </x:c>
      <x:c r="F86" s="20" t="str">
        <x:v>M</x:v>
      </x:c>
      <x:c r="G86" s="22" t="n">
        <x:v>1</x:v>
      </x:c>
      <x:c r="H86" s="24" t="n">
        <x:v>28</x:v>
      </x:c>
      <x:c r="I86" s="24" t="n">
        <x:v>28</x:v>
      </x:c>
      <x:c r="J86" s="24" t="n">
        <x:v>28</x:v>
      </x:c>
      <x:c r="K86" s="20" t="str">
        <x:v>EN_TRANSITO</x:v>
      </x:c>
      <x:c r="L86" s="20" t="str">
        <x:v>PENDIENTE</x:v>
      </x:c>
      <x:c r="M86" s="20" t="str">
        <x:v>NO</x:v>
      </x:c>
      <x:c r="N86" s="22" t="n">
        <x:v>0</x:v>
      </x:c>
      <x:c r="O86" s="20" t="str">
        <x:v>IMG14</x:v>
      </x:c>
      <x:c r="P86" s="20"/>
      <x:c r="Q86" s="20" t="str">
        <x:v>Power Washed Joggers | Cherry Purple/Wash | M</x:v>
      </x:c>
    </x:row>
    <x:row r="87">
      <x:c r="A87" s="22" t="n">
        <x:v>85</x:v>
      </x:c>
      <x:c r="B87" s="20" t="str">
        <x:v>GYMSHARK</x:v>
      </x:c>
      <x:c r="C87" s="20" t="str">
        <x:v>Power Washed Joggers</x:v>
      </x:c>
      <x:c r="D87" s="20" t="str">
        <x:v>JOGGERS / PANTS</x:v>
      </x:c>
      <x:c r="E87" s="20" t="str">
        <x:v>Dusk Purple/Wash</x:v>
      </x:c>
      <x:c r="F87" s="20" t="str">
        <x:v>XS</x:v>
      </x:c>
      <x:c r="G87" s="22" t="n">
        <x:v>3</x:v>
      </x:c>
      <x:c r="H87" s="24" t="n">
        <x:v>67.2</x:v>
      </x:c>
      <x:c r="I87" s="24" t="n">
        <x:v>22.4</x:v>
      </x:c>
      <x:c r="J87" s="24" t="n">
        <x:v>67.2</x:v>
      </x:c>
      <x:c r="K87" s="20" t="str">
        <x:v>EN_TRANSITO</x:v>
      </x:c>
      <x:c r="L87" s="20" t="str">
        <x:v>PENDIENTE</x:v>
      </x:c>
      <x:c r="M87" s="20" t="str">
        <x:v>NO</x:v>
      </x:c>
      <x:c r="N87" s="22" t="n">
        <x:v>0</x:v>
      </x:c>
      <x:c r="O87" s="20" t="str">
        <x:v>IMG14</x:v>
      </x:c>
      <x:c r="P87" s="20" t="str">
        <x:v>Precio mostrado con Qty 3; unitario estimado = precio/qty.</x:v>
      </x:c>
      <x:c r="Q87" s="20" t="str">
        <x:v>Power Washed Joggers | Dusk Purple/Wash | XS</x:v>
      </x:c>
    </x:row>
    <x:row r="88">
      <x:c r="A88" s="22" t="n">
        <x:v>86</x:v>
      </x:c>
      <x:c r="B88" s="20" t="str">
        <x:v>GYMSHARK</x:v>
      </x:c>
      <x:c r="C88" s="20" t="str">
        <x:v>Power Washed Joggers</x:v>
      </x:c>
      <x:c r="D88" s="20" t="str">
        <x:v>JOGGERS / PANTS</x:v>
      </x:c>
      <x:c r="E88" s="20" t="str">
        <x:v>Dusk Purple/Wash</x:v>
      </x:c>
      <x:c r="F88" s="20" t="str">
        <x:v>S</x:v>
      </x:c>
      <x:c r="G88" s="22" t="n">
        <x:v>2</x:v>
      </x:c>
      <x:c r="H88" s="24" t="n">
        <x:v>44.8</x:v>
      </x:c>
      <x:c r="I88" s="24" t="n">
        <x:v>22.4</x:v>
      </x:c>
      <x:c r="J88" s="24" t="n">
        <x:v>44.8</x:v>
      </x:c>
      <x:c r="K88" s="20" t="str">
        <x:v>EN_TRANSITO</x:v>
      </x:c>
      <x:c r="L88" s="20" t="str">
        <x:v>PENDIENTE</x:v>
      </x:c>
      <x:c r="M88" s="20" t="str">
        <x:v>NO</x:v>
      </x:c>
      <x:c r="N88" s="22" t="n">
        <x:v>0</x:v>
      </x:c>
      <x:c r="O88" s="20" t="str">
        <x:v>IMG14</x:v>
      </x:c>
      <x:c r="P88" s="20" t="str">
        <x:v>Precio mostrado con Qty 2; unitario estimado = precio/qty.</x:v>
      </x:c>
      <x:c r="Q88" s="20" t="str">
        <x:v>Power Washed Joggers | Dusk Purple/Wash | S</x:v>
      </x:c>
    </x:row>
    <x:row r="89">
      <x:c r="A89" s="22" t="n">
        <x:v>87</x:v>
      </x:c>
      <x:c r="B89" s="20" t="str">
        <x:v>GYMSHARK</x:v>
      </x:c>
      <x:c r="C89" s="20" t="str">
        <x:v>Adapt Fleck Seamless Leggings</x:v>
      </x:c>
      <x:c r="D89" s="20" t="str">
        <x:v>LEGGINGS</x:v>
      </x:c>
      <x:c r="E89" s="20" t="str">
        <x:v>Focus Pink/Tinted White</x:v>
      </x:c>
      <x:c r="F89" s="20" t="str">
        <x:v>S</x:v>
      </x:c>
      <x:c r="G89" s="22" t="n">
        <x:v>2</x:v>
      </x:c>
      <x:c r="H89" s="24" t="n">
        <x:v>48</x:v>
      </x:c>
      <x:c r="I89" s="24" t="n">
        <x:v>24</x:v>
      </x:c>
      <x:c r="J89" s="24" t="n">
        <x:v>48</x:v>
      </x:c>
      <x:c r="K89" s="20" t="str">
        <x:v>EN_TRANSITO</x:v>
      </x:c>
      <x:c r="L89" s="20" t="str">
        <x:v>PENDIENTE</x:v>
      </x:c>
      <x:c r="M89" s="20" t="str">
        <x:v>NO</x:v>
      </x:c>
      <x:c r="N89" s="22" t="n">
        <x:v>0</x:v>
      </x:c>
      <x:c r="O89" s="20" t="str">
        <x:v>IMG15</x:v>
      </x:c>
      <x:c r="P89" s="20" t="str">
        <x:v>Precio mostrado con Qty 2; unitario estimado = precio/qty.</x:v>
      </x:c>
      <x:c r="Q89" s="20" t="str">
        <x:v>Adapt Fleck Seamless Leggings | Focus Pink/Tinted White | S</x:v>
      </x:c>
    </x:row>
    <x:row r="90">
      <x:c r="A90" s="22" t="n">
        <x:v>88</x:v>
      </x:c>
      <x:c r="B90" s="20" t="str">
        <x:v>GYMSHARK</x:v>
      </x:c>
      <x:c r="C90" s="20" t="str">
        <x:v>Adapt Fleck Seamless Leggings</x:v>
      </x:c>
      <x:c r="D90" s="20" t="str">
        <x:v>LEGGINGS</x:v>
      </x:c>
      <x:c r="E90" s="20" t="str">
        <x:v>Focus Pink/Tinted White</x:v>
      </x:c>
      <x:c r="F90" s="20" t="str">
        <x:v>M</x:v>
      </x:c>
      <x:c r="G90" s="22" t="n">
        <x:v>2</x:v>
      </x:c>
      <x:c r="H90" s="24" t="n">
        <x:v>48</x:v>
      </x:c>
      <x:c r="I90" s="24" t="n">
        <x:v>24</x:v>
      </x:c>
      <x:c r="J90" s="24" t="n">
        <x:v>48</x:v>
      </x:c>
      <x:c r="K90" s="20" t="str">
        <x:v>EN_TRANSITO</x:v>
      </x:c>
      <x:c r="L90" s="20" t="str">
        <x:v>PENDIENTE</x:v>
      </x:c>
      <x:c r="M90" s="20" t="str">
        <x:v>NO</x:v>
      </x:c>
      <x:c r="N90" s="22" t="n">
        <x:v>0</x:v>
      </x:c>
      <x:c r="O90" s="20" t="str">
        <x:v>IMG15</x:v>
      </x:c>
      <x:c r="P90" s="20" t="str">
        <x:v>Precio mostrado con Qty 2; unitario estimado = precio/qty.</x:v>
      </x:c>
      <x:c r="Q90" s="20" t="str">
        <x:v>Adapt Fleck Seamless Leggings | Focus Pink/Tinted White | M</x:v>
      </x:c>
    </x:row>
    <x:row r="91">
      <x:c r="A91" s="22" t="n">
        <x:v>89</x:v>
      </x:c>
      <x:c r="B91" s="20" t="str">
        <x:v>GYMSHARK</x:v>
      </x:c>
      <x:c r="C91" s="20" t="str">
        <x:v>Adapt Fleck Seamless Leggings</x:v>
      </x:c>
      <x:c r="D91" s="20" t="str">
        <x:v>LEGGINGS</x:v>
      </x:c>
      <x:c r="E91" s="20" t="str">
        <x:v>Force Blue/Steady Purple</x:v>
      </x:c>
      <x:c r="F91" s="20" t="str">
        <x:v>S</x:v>
      </x:c>
      <x:c r="G91" s="22" t="n">
        <x:v>2</x:v>
      </x:c>
      <x:c r="H91" s="24" t="n">
        <x:v>48</x:v>
      </x:c>
      <x:c r="I91" s="24" t="n">
        <x:v>24</x:v>
      </x:c>
      <x:c r="J91" s="24" t="n">
        <x:v>48</x:v>
      </x:c>
      <x:c r="K91" s="20" t="str">
        <x:v>EN_TRANSITO</x:v>
      </x:c>
      <x:c r="L91" s="20" t="str">
        <x:v>PENDIENTE</x:v>
      </x:c>
      <x:c r="M91" s="20" t="str">
        <x:v>NO</x:v>
      </x:c>
      <x:c r="N91" s="22" t="n">
        <x:v>0</x:v>
      </x:c>
      <x:c r="O91" s="20" t="str">
        <x:v>IMG15</x:v>
      </x:c>
      <x:c r="P91" s="20" t="str">
        <x:v>Precio mostrado con Qty 2; unitario estimado = precio/qty.</x:v>
      </x:c>
      <x:c r="Q91" s="20" t="str">
        <x:v>Adapt Fleck Seamless Leggings | Force Blue/Steady Purple | S</x:v>
      </x:c>
    </x:row>
    <x:row r="92">
      <x:c r="A92" s="22" t="n">
        <x:v>90</x:v>
      </x:c>
      <x:c r="B92" s="20" t="str">
        <x:v>GYMSHARK</x:v>
      </x:c>
      <x:c r="C92" s="20" t="str">
        <x:v>Adapt Fleck Seamless Leggings</x:v>
      </x:c>
      <x:c r="D92" s="20" t="str">
        <x:v>LEGGINGS</x:v>
      </x:c>
      <x:c r="E92" s="20" t="str">
        <x:v>Black</x:v>
      </x:c>
      <x:c r="F92" s="20" t="str">
        <x:v>S</x:v>
      </x:c>
      <x:c r="G92" s="22" t="n">
        <x:v>2</x:v>
      </x:c>
      <x:c r="H92" s="24" t="n">
        <x:v>48</x:v>
      </x:c>
      <x:c r="I92" s="24" t="n">
        <x:v>24</x:v>
      </x:c>
      <x:c r="J92" s="24" t="n">
        <x:v>48</x:v>
      </x:c>
      <x:c r="K92" s="20" t="str">
        <x:v>EN_TRANSITO</x:v>
      </x:c>
      <x:c r="L92" s="20" t="str">
        <x:v>PENDIENTE</x:v>
      </x:c>
      <x:c r="M92" s="20" t="str">
        <x:v>NO</x:v>
      </x:c>
      <x:c r="N92" s="22" t="n">
        <x:v>0</x:v>
      </x:c>
      <x:c r="O92" s="20" t="str">
        <x:v>IMG15</x:v>
      </x:c>
      <x:c r="P92" s="20" t="str">
        <x:v>Precio mostrado con Qty 2; unitario estimado = precio/qty.</x:v>
      </x:c>
      <x:c r="Q92" s="20" t="str">
        <x:v>Adapt Fleck Seamless Leggings | Black | S</x:v>
      </x:c>
    </x:row>
    <x:row r="93">
      <x:c r="A93" s="22" t="n">
        <x:v>91</x:v>
      </x:c>
      <x:c r="B93" s="20" t="str">
        <x:v>GYMSHARK</x:v>
      </x:c>
      <x:c r="C93" s="20" t="str">
        <x:v>Everyday Holdall Small</x:v>
      </x:c>
      <x:c r="D93" s="20" t="str">
        <x:v>ACCESORIOS / BOLSOS</x:v>
      </x:c>
      <x:c r="E93" s="20" t="str">
        <x:v>Strength Pink</x:v>
      </x:c>
      <x:c r="F93" s="20" t="str">
        <x:v>One Size</x:v>
      </x:c>
      <x:c r="G93" s="22" t="n">
        <x:v>4</x:v>
      </x:c>
      <x:c r="H93" s="24" t="n">
        <x:v>105.6</x:v>
      </x:c>
      <x:c r="I93" s="24" t="n">
        <x:v>26.4</x:v>
      </x:c>
      <x:c r="J93" s="24" t="n">
        <x:v>105.6</x:v>
      </x:c>
      <x:c r="K93" s="20" t="str">
        <x:v>EN_TRANSITO</x:v>
      </x:c>
      <x:c r="L93" s="20" t="str">
        <x:v>PENDIENTE</x:v>
      </x:c>
      <x:c r="M93" s="20" t="str">
        <x:v>NO</x:v>
      </x:c>
      <x:c r="N93" s="22" t="n">
        <x:v>0</x:v>
      </x:c>
      <x:c r="O93" s="20" t="str">
        <x:v>IMG15</x:v>
      </x:c>
      <x:c r="P93" s="20" t="str">
        <x:v>Precio mostrado con Qty 4; unitario estimado = precio/qty.</x:v>
      </x:c>
      <x:c r="Q93" s="20" t="str">
        <x:v>Everyday Holdall Small | Strength Pink | One Size</x:v>
      </x:c>
    </x:row>
    <x:row r="94">
      <x:c r="A94" s="22" t="n">
        <x:v>92</x:v>
      </x:c>
      <x:c r="B94" s="20" t="str">
        <x:v>GYMSHARK</x:v>
      </x:c>
      <x:c r="C94" s="20" t="str">
        <x:v>Diffuse Logo Headband</x:v>
      </x:c>
      <x:c r="D94" s="20" t="str">
        <x:v>ACCESORIOS / HEADBANDS</x:v>
      </x:c>
      <x:c r="E94" s="20" t="str">
        <x:v>Carmine Red</x:v>
      </x:c>
      <x:c r="F94" s="20" t="str">
        <x:v>One Size</x:v>
      </x:c>
      <x:c r="G94" s="22" t="n">
        <x:v>2</x:v>
      </x:c>
      <x:c r="H94" s="24" t="n">
        <x:v>24</x:v>
      </x:c>
      <x:c r="I94" s="24" t="n">
        <x:v>12</x:v>
      </x:c>
      <x:c r="J94" s="24" t="n">
        <x:v>24</x:v>
      </x:c>
      <x:c r="K94" s="20" t="str">
        <x:v>EN_TRANSITO</x:v>
      </x:c>
      <x:c r="L94" s="20" t="str">
        <x:v>PENDIENTE</x:v>
      </x:c>
      <x:c r="M94" s="20" t="str">
        <x:v>NO</x:v>
      </x:c>
      <x:c r="N94" s="22" t="n">
        <x:v>0</x:v>
      </x:c>
      <x:c r="O94" s="20" t="str">
        <x:v>IMG15</x:v>
      </x:c>
      <x:c r="P94" s="20" t="str">
        <x:v>Precio mostrado con Qty 2; unitario estimado = precio/qty.</x:v>
      </x:c>
      <x:c r="Q94" s="20" t="str">
        <x:v>Diffuse Logo Headband | Carmine Red | One Size</x:v>
      </x:c>
    </x:row>
    <x:row r="95">
      <x:c r="A95" s="22" t="n">
        <x:v>93</x:v>
      </x:c>
      <x:c r="B95" s="20" t="str">
        <x:v>GYMSHARK</x:v>
      </x:c>
      <x:c r="C95" s="20" t="str">
        <x:v>Diffuse Logo Headband</x:v>
      </x:c>
      <x:c r="D95" s="20" t="str">
        <x:v>ACCESORIOS / HEADBANDS</x:v>
      </x:c>
      <x:c r="E95" s="20" t="str">
        <x:v>Chilled Blue</x:v>
      </x:c>
      <x:c r="F95" s="20" t="str">
        <x:v>One Size</x:v>
      </x:c>
      <x:c r="G95" s="22" t="n">
        <x:v>2</x:v>
      </x:c>
      <x:c r="H95" s="24" t="n">
        <x:v>20</x:v>
      </x:c>
      <x:c r="I95" s="24" t="n">
        <x:v>10</x:v>
      </x:c>
      <x:c r="J95" s="24" t="n">
        <x:v>20</x:v>
      </x:c>
      <x:c r="K95" s="20" t="str">
        <x:v>EN_TRANSITO</x:v>
      </x:c>
      <x:c r="L95" s="20" t="str">
        <x:v>PENDIENTE</x:v>
      </x:c>
      <x:c r="M95" s="20" t="str">
        <x:v>NO</x:v>
      </x:c>
      <x:c r="N95" s="22" t="n">
        <x:v>0</x:v>
      </x:c>
      <x:c r="O95" s="20" t="str">
        <x:v>IMG15</x:v>
      </x:c>
      <x:c r="P95" s="20" t="str">
        <x:v>Precio mostrado con Qty 2; unitario estimado = precio/qty.</x:v>
      </x:c>
      <x:c r="Q95" s="20" t="str">
        <x:v>Diffuse Logo Headband | Chilled Blue | One Size</x:v>
      </x:c>
    </x:row>
    <x:row r="96">
      <x:c r="A96" s="22" t="n">
        <x:v>94</x:v>
      </x:c>
      <x:c r="B96" s="20" t="str">
        <x:v>GYMSHARK</x:v>
      </x:c>
      <x:c r="C96" s="20" t="str">
        <x:v>Comfy Rest Day Socks</x:v>
      </x:c>
      <x:c r="D96" s="20" t="str">
        <x:v>ACCESORIOS / MEDIAS</x:v>
      </x:c>
      <x:c r="E96" s="20" t="str">
        <x:v>Reset Pink</x:v>
      </x:c>
      <x:c r="F96" s="20" t="str">
        <x:v>M</x:v>
      </x:c>
      <x:c r="G96" s="22" t="n">
        <x:v>2</x:v>
      </x:c>
      <x:c r="H96" s="24" t="n">
        <x:v>8.4</x:v>
      </x:c>
      <x:c r="I96" s="24" t="n">
        <x:v>4.2</x:v>
      </x:c>
      <x:c r="J96" s="24" t="n">
        <x:v>8.4</x:v>
      </x:c>
      <x:c r="K96" s="20" t="str">
        <x:v>EN_TRANSITO</x:v>
      </x:c>
      <x:c r="L96" s="20" t="str">
        <x:v>PENDIENTE</x:v>
      </x:c>
      <x:c r="M96" s="20" t="str">
        <x:v>NO</x:v>
      </x:c>
      <x:c r="N96" s="22" t="n">
        <x:v>0</x:v>
      </x:c>
      <x:c r="O96" s="20" t="str">
        <x:v>IMG16</x:v>
      </x:c>
      <x:c r="P96" s="20" t="str">
        <x:v>Precio mostrado con Qty 2; unitario estimado = precio/qty.</x:v>
      </x:c>
      <x:c r="Q96" s="20" t="str">
        <x:v>Comfy Rest Day Socks | Reset Pink | M</x:v>
      </x:c>
    </x:row>
    <x:row r="97">
      <x:c r="A97" s="22" t="n">
        <x:v>95</x:v>
      </x:c>
      <x:c r="B97" s="20" t="str">
        <x:v>GYMSHARK</x:v>
      </x:c>
      <x:c r="C97" s="20" t="str">
        <x:v>Comfy Rest Day Socks</x:v>
      </x:c>
      <x:c r="D97" s="20" t="str">
        <x:v>ACCESORIOS / MEDIAS</x:v>
      </x:c>
      <x:c r="E97" s="20" t="str">
        <x:v>Stone Beige</x:v>
      </x:c>
      <x:c r="F97" s="20" t="str">
        <x:v>S</x:v>
      </x:c>
      <x:c r="G97" s="22" t="n">
        <x:v>2</x:v>
      </x:c>
      <x:c r="H97" s="24" t="n">
        <x:v>8.4</x:v>
      </x:c>
      <x:c r="I97" s="24" t="n">
        <x:v>4.2</x:v>
      </x:c>
      <x:c r="J97" s="24" t="n">
        <x:v>8.4</x:v>
      </x:c>
      <x:c r="K97" s="20" t="str">
        <x:v>EN_TRANSITO</x:v>
      </x:c>
      <x:c r="L97" s="20" t="str">
        <x:v>PENDIENTE</x:v>
      </x:c>
      <x:c r="M97" s="20" t="str">
        <x:v>NO</x:v>
      </x:c>
      <x:c r="N97" s="22" t="n">
        <x:v>0</x:v>
      </x:c>
      <x:c r="O97" s="20" t="str">
        <x:v>IMG16</x:v>
      </x:c>
      <x:c r="P97" s="20" t="str">
        <x:v>Precio mostrado con Qty 2; unitario estimado = precio/qty.</x:v>
      </x:c>
      <x:c r="Q97" s="20" t="str">
        <x:v>Comfy Rest Day Socks | Stone Beige | S</x:v>
      </x:c>
    </x:row>
    <x:row r="98">
      <x:c r="A98" s="22" t="n">
        <x:v>96</x:v>
      </x:c>
      <x:c r="B98" s="20" t="str">
        <x:v>GYMSHARK</x:v>
      </x:c>
      <x:c r="C98" s="20" t="str">
        <x:v>Cut Out Bandeau</x:v>
      </x:c>
      <x:c r="D98" s="20" t="str">
        <x:v>TOPS / SPORTS BRA</x:v>
      </x:c>
      <x:c r="E98" s="20" t="str">
        <x:v>Discipline Green</x:v>
      </x:c>
      <x:c r="F98" s="20" t="str">
        <x:v>S</x:v>
      </x:c>
      <x:c r="G98" s="22" t="n">
        <x:v>2</x:v>
      </x:c>
      <x:c r="H98" s="24" t="n">
        <x:v>18</x:v>
      </x:c>
      <x:c r="I98" s="24" t="n">
        <x:v>9</x:v>
      </x:c>
      <x:c r="J98" s="24" t="n">
        <x:v>18</x:v>
      </x:c>
      <x:c r="K98" s="20" t="str">
        <x:v>EN_TRANSITO</x:v>
      </x:c>
      <x:c r="L98" s="20" t="str">
        <x:v>PENDIENTE</x:v>
      </x:c>
      <x:c r="M98" s="20" t="str">
        <x:v>NO</x:v>
      </x:c>
      <x:c r="N98" s="22" t="n">
        <x:v>0</x:v>
      </x:c>
      <x:c r="O98" s="20" t="str">
        <x:v>IMG16</x:v>
      </x:c>
      <x:c r="P98" s="20" t="str">
        <x:v>Precio mostrado con Qty 2; unitario estimado = precio/qty.</x:v>
      </x:c>
      <x:c r="Q98" s="20" t="str">
        <x:v>Cut Out Bandeau | Discipline Green | S</x:v>
      </x:c>
    </x:row>
    <x:row r="99">
      <x:c r="A99" s="22" t="n">
        <x:v>97</x:v>
      </x:c>
      <x:c r="B99" s="20" t="str">
        <x:v>GYMSHARK</x:v>
      </x:c>
      <x:c r="C99" s="20" t="str">
        <x:v>Silicone Lifting Straps</x:v>
      </x:c>
      <x:c r="D99" s="20" t="str">
        <x:v>ACCESORIOS / STRAPS</x:v>
      </x:c>
      <x:c r="E99" s="20" t="str">
        <x:v>Super-Set Pink/Focus Pink</x:v>
      </x:c>
      <x:c r="F99" s="20" t="str">
        <x:v>One Size</x:v>
      </x:c>
      <x:c r="G99" s="22" t="n">
        <x:v>2</x:v>
      </x:c>
      <x:c r="H99" s="24" t="n">
        <x:v>20</x:v>
      </x:c>
      <x:c r="I99" s="24" t="n">
        <x:v>10</x:v>
      </x:c>
      <x:c r="J99" s="24" t="n">
        <x:v>20</x:v>
      </x:c>
      <x:c r="K99" s="20" t="str">
        <x:v>EN_TRANSITO</x:v>
      </x:c>
      <x:c r="L99" s="20" t="str">
        <x:v>PENDIENTE</x:v>
      </x:c>
      <x:c r="M99" s="20" t="str">
        <x:v>NO</x:v>
      </x:c>
      <x:c r="N99" s="22" t="n">
        <x:v>0</x:v>
      </x:c>
      <x:c r="O99" s="20" t="str">
        <x:v>IMG16</x:v>
      </x:c>
      <x:c r="P99" s="20" t="str">
        <x:v>Precio mostrado con Qty 2; unitario estimado = precio/qty.</x:v>
      </x:c>
      <x:c r="Q99" s="20" t="str">
        <x:v>Silicone Lifting Straps | Super-Set Pink/Focus Pink | One Size</x:v>
      </x:c>
    </x:row>
    <x:row r="100">
      <x:c r="A100" s="22" t="n">
        <x:v>98</x:v>
      </x:c>
      <x:c r="B100" s="20" t="str">
        <x:v>GYMSHARK</x:v>
      </x:c>
      <x:c r="C100" s="20" t="str">
        <x:v>Visor</x:v>
      </x:c>
      <x:c r="D100" s="20" t="str">
        <x:v>ACCESORIOS / VISERAS</x:v>
      </x:c>
      <x:c r="E100" s="20" t="str">
        <x:v>White</x:v>
      </x:c>
      <x:c r="F100" s="20" t="str">
        <x:v>One Size</x:v>
      </x:c>
      <x:c r="G100" s="22" t="n">
        <x:v>2</x:v>
      </x:c>
      <x:c r="H100" s="24" t="n">
        <x:v>30</x:v>
      </x:c>
      <x:c r="I100" s="24" t="n">
        <x:v>15</x:v>
      </x:c>
      <x:c r="J100" s="24" t="n">
        <x:v>30</x:v>
      </x:c>
      <x:c r="K100" s="20" t="str">
        <x:v>EN_TRANSITO</x:v>
      </x:c>
      <x:c r="L100" s="20" t="str">
        <x:v>PENDIENTE</x:v>
      </x:c>
      <x:c r="M100" s="20" t="str">
        <x:v>NO</x:v>
      </x:c>
      <x:c r="N100" s="22" t="n">
        <x:v>0</x:v>
      </x:c>
      <x:c r="O100" s="20" t="str">
        <x:v>IMG16</x:v>
      </x:c>
      <x:c r="P100" s="20" t="str">
        <x:v>Precio mostrado con Qty 2; unitario estimado = precio/qty.</x:v>
      </x:c>
      <x:c r="Q100" s="20" t="str">
        <x:v>Visor | White | One Size</x:v>
      </x:c>
    </x:row>
    <x:row r="101">
      <x:c r="A101" s="22" t="n">
        <x:v>99</x:v>
      </x:c>
      <x:c r="B101" s="20" t="str">
        <x:v>GYMSHARK</x:v>
      </x:c>
      <x:c r="C101" s="20" t="str">
        <x:v>Adapt Animal Shorts</x:v>
      </x:c>
      <x:c r="D101" s="20" t="str">
        <x:v>SHORTS</x:v>
      </x:c>
      <x:c r="E101" s="20" t="str">
        <x:v>Black/Asphalt Grey</x:v>
      </x:c>
      <x:c r="F101" s="20" t="str">
        <x:v>S</x:v>
      </x:c>
      <x:c r="G101" s="22" t="n">
        <x:v>2</x:v>
      </x:c>
      <x:c r="H101" s="24" t="n">
        <x:v>35.2</x:v>
      </x:c>
      <x:c r="I101" s="24" t="n">
        <x:v>17.6</x:v>
      </x:c>
      <x:c r="J101" s="24" t="n">
        <x:v>35.2</x:v>
      </x:c>
      <x:c r="K101" s="20" t="str">
        <x:v>EN_TRANSITO</x:v>
      </x:c>
      <x:c r="L101" s="20" t="str">
        <x:v>PENDIENTE</x:v>
      </x:c>
      <x:c r="M101" s="20" t="str">
        <x:v>NO</x:v>
      </x:c>
      <x:c r="N101" s="22" t="n">
        <x:v>0</x:v>
      </x:c>
      <x:c r="O101" s="20" t="str">
        <x:v>IMG16</x:v>
      </x:c>
      <x:c r="P101" s="20" t="str">
        <x:v>Precio mostrado con Qty 2; unitario estimado = precio/qty.</x:v>
      </x:c>
      <x:c r="Q101" s="20" t="str">
        <x:v>Adapt Animal Shorts | Black/Asphalt Grey | S</x:v>
      </x:c>
    </x:row>
    <x:row r="102">
      <x:c r="A102" s="22" t="n">
        <x:v>100</x:v>
      </x:c>
      <x:c r="B102" s="20" t="str">
        <x:v>GYMSHARK</x:v>
      </x:c>
      <x:c r="C102" s="20" t="str">
        <x:v>Adapt Animal Shorts</x:v>
      </x:c>
      <x:c r="D102" s="20" t="str">
        <x:v>SHORTS</x:v>
      </x:c>
      <x:c r="E102" s="20" t="str">
        <x:v>Black/Asphalt Grey</x:v>
      </x:c>
      <x:c r="F102" s="20" t="str">
        <x:v>XS</x:v>
      </x:c>
      <x:c r="G102" s="22" t="n">
        <x:v>1</x:v>
      </x:c>
      <x:c r="H102" s="24" t="n">
        <x:v>17.6</x:v>
      </x:c>
      <x:c r="I102" s="24" t="n">
        <x:v>17.6</x:v>
      </x:c>
      <x:c r="J102" s="24" t="n">
        <x:v>17.6</x:v>
      </x:c>
      <x:c r="K102" s="20" t="str">
        <x:v>EN_TRANSITO</x:v>
      </x:c>
      <x:c r="L102" s="20" t="str">
        <x:v>PENDIENTE</x:v>
      </x:c>
      <x:c r="M102" s="20" t="str">
        <x:v>NO</x:v>
      </x:c>
      <x:c r="N102" s="22" t="n">
        <x:v>0</x:v>
      </x:c>
      <x:c r="O102" s="20" t="str">
        <x:v>IMG16</x:v>
      </x:c>
      <x:c r="P102" s="20"/>
      <x:c r="Q102" s="20" t="str">
        <x:v>Adapt Animal Shorts | Black/Asphalt Grey | XS</x:v>
      </x:c>
    </x:row>
    <x:row r="103">
      <x:c r="A103" s="22" t="n">
        <x:v>101</x:v>
      </x:c>
      <x:c r="B103" s="20" t="str">
        <x:v>GYMSHARK</x:v>
      </x:c>
      <x:c r="C103" s="20" t="str">
        <x:v>Medium Support Running Sports Bra</x:v>
      </x:c>
      <x:c r="D103" s="20" t="str">
        <x:v>TOPS / SPORTS BRA</x:v>
      </x:c>
      <x:c r="E103" s="20" t="str">
        <x:v>Black</x:v>
      </x:c>
      <x:c r="F103" s="20" t="str">
        <x:v>S</x:v>
      </x:c>
      <x:c r="G103" s="22" t="n">
        <x:v>2</x:v>
      </x:c>
      <x:c r="H103" s="24" t="n">
        <x:v>44</x:v>
      </x:c>
      <x:c r="I103" s="24" t="n">
        <x:v>22</x:v>
      </x:c>
      <x:c r="J103" s="24" t="n">
        <x:v>44</x:v>
      </x:c>
      <x:c r="K103" s="20" t="str">
        <x:v>EN_TRANSITO</x:v>
      </x:c>
      <x:c r="L103" s="20" t="str">
        <x:v>PENDIENTE</x:v>
      </x:c>
      <x:c r="M103" s="20" t="str">
        <x:v>NO</x:v>
      </x:c>
      <x:c r="N103" s="22" t="n">
        <x:v>0</x:v>
      </x:c>
      <x:c r="O103" s="20" t="str">
        <x:v>IMG17</x:v>
      </x:c>
      <x:c r="P103" s="20" t="str">
        <x:v>Precio mostrado con Qty 2; unitario estimado = precio/qty.</x:v>
      </x:c>
      <x:c r="Q103" s="20" t="str">
        <x:v>Medium Support Running Sports Bra | Black | S</x:v>
      </x:c>
    </x:row>
    <x:row r="104">
      <x:c r="A104" s="22" t="n">
        <x:v>102</x:v>
      </x:c>
      <x:c r="B104" s="20" t="str">
        <x:v>GYMSHARK</x:v>
      </x:c>
      <x:c r="C104" s="20" t="str">
        <x:v>Velcro Weightlifting Belt</x:v>
      </x:c>
      <x:c r="D104" s="20" t="str">
        <x:v>ACCESORIOS / BELT</x:v>
      </x:c>
      <x:c r="E104" s="20" t="str">
        <x:v>Black/Focus Pink</x:v>
      </x:c>
      <x:c r="F104" s="20" t="str">
        <x:v>M</x:v>
      </x:c>
      <x:c r="G104" s="22" t="n">
        <x:v>2</x:v>
      </x:c>
      <x:c r="H104" s="24" t="n">
        <x:v>44</x:v>
      </x:c>
      <x:c r="I104" s="24" t="n">
        <x:v>22</x:v>
      </x:c>
      <x:c r="J104" s="24" t="n">
        <x:v>44</x:v>
      </x:c>
      <x:c r="K104" s="20" t="str">
        <x:v>EN_TRANSITO</x:v>
      </x:c>
      <x:c r="L104" s="20" t="str">
        <x:v>PENDIENTE</x:v>
      </x:c>
      <x:c r="M104" s="20" t="str">
        <x:v>NO</x:v>
      </x:c>
      <x:c r="N104" s="22" t="n">
        <x:v>0</x:v>
      </x:c>
      <x:c r="O104" s="20" t="str">
        <x:v>IMG17</x:v>
      </x:c>
      <x:c r="P104" s="20" t="str">
        <x:v>Precio mostrado con Qty 2; unitario estimado = precio/qty.</x:v>
      </x:c>
      <x:c r="Q104" s="20" t="str">
        <x:v>Velcro Weightlifting Belt | Black/Focus Pink | M</x:v>
      </x:c>
    </x:row>
    <x:row r="105">
      <x:c r="A105" s="22" t="n">
        <x:v>103</x:v>
      </x:c>
      <x:c r="B105" s="20" t="str">
        <x:v>GYMSHARK</x:v>
      </x:c>
      <x:c r="C105" s="20" t="str">
        <x:v>Adapt Fleck Halterneck Sports Bra</x:v>
      </x:c>
      <x:c r="D105" s="20" t="str">
        <x:v>TOPS / SPORTS BRA</x:v>
      </x:c>
      <x:c r="E105" s="20" t="str">
        <x:v>Black</x:v>
      </x:c>
      <x:c r="F105" s="20" t="str">
        <x:v>M</x:v>
      </x:c>
      <x:c r="G105" s="22" t="n">
        <x:v>1</x:v>
      </x:c>
      <x:c r="H105" s="24" t="n">
        <x:v>18.4</x:v>
      </x:c>
      <x:c r="I105" s="24" t="n">
        <x:v>18.4</x:v>
      </x:c>
      <x:c r="J105" s="24" t="n">
        <x:v>18.4</x:v>
      </x:c>
      <x:c r="K105" s="20" t="str">
        <x:v>EN_TRANSITO</x:v>
      </x:c>
      <x:c r="L105" s="20" t="str">
        <x:v>PENDIENTE</x:v>
      </x:c>
      <x:c r="M105" s="20" t="str">
        <x:v>NO</x:v>
      </x:c>
      <x:c r="N105" s="22" t="n">
        <x:v>0</x:v>
      </x:c>
      <x:c r="O105" s="20" t="str">
        <x:v>IMG17</x:v>
      </x:c>
      <x:c r="P105" s="20"/>
      <x:c r="Q105" s="20" t="str">
        <x:v>Adapt Fleck Halterneck Sports Bra | Black | M</x:v>
      </x:c>
    </x:row>
    <x:row r="106">
      <x:c r="A106" s="22" t="n">
        <x:v>104</x:v>
      </x:c>
      <x:c r="B106" s="20" t="str">
        <x:v>GYMSHARK</x:v>
      </x:c>
      <x:c r="C106" s="20" t="str">
        <x:v>Power T-Shirt</x:v>
      </x:c>
      <x:c r="D106" s="20" t="str">
        <x:v>T-SHIRTS</x:v>
      </x:c>
      <x:c r="E106" s="20" t="str">
        <x:v>Conditioning Red</x:v>
      </x:c>
      <x:c r="F106" s="20" t="str">
        <x:v>S</x:v>
      </x:c>
      <x:c r="G106" s="22" t="n">
        <x:v>2</x:v>
      </x:c>
      <x:c r="H106" s="24" t="n">
        <x:v>36</x:v>
      </x:c>
      <x:c r="I106" s="24" t="n">
        <x:v>18</x:v>
      </x:c>
      <x:c r="J106" s="24" t="n">
        <x:v>36</x:v>
      </x:c>
      <x:c r="K106" s="20" t="str">
        <x:v>EN_TRANSITO</x:v>
      </x:c>
      <x:c r="L106" s="20" t="str">
        <x:v>PENDIENTE</x:v>
      </x:c>
      <x:c r="M106" s="20" t="str">
        <x:v>NO</x:v>
      </x:c>
      <x:c r="N106" s="22" t="n">
        <x:v>0</x:v>
      </x:c>
      <x:c r="O106" s="20" t="str">
        <x:v>IMG17</x:v>
      </x:c>
      <x:c r="P106" s="20" t="str">
        <x:v>Precio mostrado con Qty 2; unitario estimado = precio/qty.</x:v>
      </x:c>
      <x:c r="Q106" s="20" t="str">
        <x:v>Power T-Shirt | Conditioning Red | S</x:v>
      </x:c>
    </x:row>
    <x:row r="107">
      <x:c r="A107" s="22" t="n">
        <x:v>105</x:v>
      </x:c>
      <x:c r="B107" s="20" t="str">
        <x:v>GYMSHARK</x:v>
      </x:c>
      <x:c r="C107" s="20" t="str">
        <x:v>Power T-Shirt</x:v>
      </x:c>
      <x:c r="D107" s="20" t="str">
        <x:v>T-SHIRTS</x:v>
      </x:c>
      <x:c r="E107" s="20" t="str">
        <x:v>Force Blue</x:v>
      </x:c>
      <x:c r="F107" s="20" t="str">
        <x:v>S</x:v>
      </x:c>
      <x:c r="G107" s="22" t="n">
        <x:v>2</x:v>
      </x:c>
      <x:c r="H107" s="24" t="n">
        <x:v>36</x:v>
      </x:c>
      <x:c r="I107" s="24" t="n">
        <x:v>18</x:v>
      </x:c>
      <x:c r="J107" s="24" t="n">
        <x:v>36</x:v>
      </x:c>
      <x:c r="K107" s="20" t="str">
        <x:v>EN_TRANSITO</x:v>
      </x:c>
      <x:c r="L107" s="20" t="str">
        <x:v>PENDIENTE</x:v>
      </x:c>
      <x:c r="M107" s="20" t="str">
        <x:v>NO</x:v>
      </x:c>
      <x:c r="N107" s="22" t="n">
        <x:v>0</x:v>
      </x:c>
      <x:c r="O107" s="20" t="str">
        <x:v>IMG17</x:v>
      </x:c>
      <x:c r="P107" s="20" t="str">
        <x:v>Precio mostrado con Qty 2; unitario estimado = precio/qty.</x:v>
      </x:c>
      <x:c r="Q107" s="20" t="str">
        <x:v>Power T-Shirt | Force Blue | S</x:v>
      </x:c>
    </x:row>
    <x:row r="108">
      <x:c r="A108" s="22" t="n">
        <x:v>106</x:v>
      </x:c>
      <x:c r="B108" s="20" t="str">
        <x:v>GYMSHARK</x:v>
      </x:c>
      <x:c r="C108" s="20" t="str">
        <x:v>Accent Conditioning Shorts</x:v>
      </x:c>
      <x:c r="D108" s="20" t="str">
        <x:v>SHORTS</x:v>
      </x:c>
      <x:c r="E108" s="20" t="str">
        <x:v>Force Blue</x:v>
      </x:c>
      <x:c r="F108" s="20" t="str">
        <x:v>XS</x:v>
      </x:c>
      <x:c r="G108" s="22" t="n">
        <x:v>2</x:v>
      </x:c>
      <x:c r="H108" s="24" t="n">
        <x:v>36</x:v>
      </x:c>
      <x:c r="I108" s="24" t="n">
        <x:v>18</x:v>
      </x:c>
      <x:c r="J108" s="24" t="n">
        <x:v>36</x:v>
      </x:c>
      <x:c r="K108" s="20" t="str">
        <x:v>EN_TRANSITO</x:v>
      </x:c>
      <x:c r="L108" s="20" t="str">
        <x:v>PENDIENTE</x:v>
      </x:c>
      <x:c r="M108" s="20" t="str">
        <x:v>NO</x:v>
      </x:c>
      <x:c r="N108" s="22" t="n">
        <x:v>0</x:v>
      </x:c>
      <x:c r="O108" s="20" t="str">
        <x:v>IMG17</x:v>
      </x:c>
      <x:c r="P108" s="20" t="str">
        <x:v>Precio mostrado con Qty 2; unitario estimado = precio/qty.</x:v>
      </x:c>
      <x:c r="Q108" s="20" t="str">
        <x:v>Accent Conditioning Shorts | Force Blue | XS</x:v>
      </x:c>
    </x:row>
    <x:row r="109">
      <x:c r="A109" s="22" t="n">
        <x:v>107</x:v>
      </x:c>
      <x:c r="B109" s="20" t="str">
        <x:v>GYMSHARK</x:v>
      </x:c>
      <x:c r="C109" s="20" t="str">
        <x:v>Accent Conditioning Shorts</x:v>
      </x:c>
      <x:c r="D109" s="20" t="str">
        <x:v>SHORTS</x:v>
      </x:c>
      <x:c r="E109" s="20" t="str">
        <x:v>Force Blue</x:v>
      </x:c>
      <x:c r="F109" s="20" t="str">
        <x:v>S</x:v>
      </x:c>
      <x:c r="G109" s="22" t="n">
        <x:v>2</x:v>
      </x:c>
      <x:c r="H109" s="24" t="n">
        <x:v>36</x:v>
      </x:c>
      <x:c r="I109" s="24" t="n">
        <x:v>18</x:v>
      </x:c>
      <x:c r="J109" s="24" t="n">
        <x:v>36</x:v>
      </x:c>
      <x:c r="K109" s="20" t="str">
        <x:v>EN_TRANSITO</x:v>
      </x:c>
      <x:c r="L109" s="20" t="str">
        <x:v>PENDIENTE</x:v>
      </x:c>
      <x:c r="M109" s="20" t="str">
        <x:v>NO</x:v>
      </x:c>
      <x:c r="N109" s="22" t="n">
        <x:v>0</x:v>
      </x:c>
      <x:c r="O109" s="20" t="str">
        <x:v>IMG17</x:v>
      </x:c>
      <x:c r="P109" s="20" t="str">
        <x:v>Precio mostrado con Qty 2; unitario estimado = precio/qty.</x:v>
      </x:c>
      <x:c r="Q109" s="20" t="str">
        <x:v>Accent Conditioning Shorts | Force Blue | S</x:v>
      </x:c>
    </x:row>
    <x:row r="110">
      <x:c r="A110" s="22" t="n">
        <x:v>108</x:v>
      </x:c>
      <x:c r="B110" s="20" t="str">
        <x:v>GYMSHARK</x:v>
      </x:c>
      <x:c r="C110" s="20" t="str">
        <x:v>Diffuse Sweat Headband</x:v>
      </x:c>
      <x:c r="D110" s="20" t="str">
        <x:v>ACCESORIOS / HEADBANDS</x:v>
      </x:c>
      <x:c r="E110" s="20" t="str">
        <x:v>Calm Pink</x:v>
      </x:c>
      <x:c r="F110" s="20" t="str">
        <x:v>One Size</x:v>
      </x:c>
      <x:c r="G110" s="22" t="n">
        <x:v>2</x:v>
      </x:c>
      <x:c r="H110" s="24" t="n">
        <x:v>20</x:v>
      </x:c>
      <x:c r="I110" s="24" t="n">
        <x:v>10</x:v>
      </x:c>
      <x:c r="J110" s="24" t="n">
        <x:v>20</x:v>
      </x:c>
      <x:c r="K110" s="20" t="str">
        <x:v>EN_TRANSITO</x:v>
      </x:c>
      <x:c r="L110" s="20" t="str">
        <x:v>PENDIENTE</x:v>
      </x:c>
      <x:c r="M110" s="20" t="str">
        <x:v>NO</x:v>
      </x:c>
      <x:c r="N110" s="22" t="n">
        <x:v>0</x:v>
      </x:c>
      <x:c r="O110" s="20" t="str">
        <x:v>IMG18</x:v>
      </x:c>
      <x:c r="P110" s="20" t="str">
        <x:v>Precio mostrado con Qty 2; unitario estimado = precio/qty.</x:v>
      </x:c>
      <x:c r="Q110" s="20" t="str">
        <x:v>Diffuse Sweat Headband | Calm Pink | One Size</x:v>
      </x:c>
    </x:row>
    <x:row r="111">
      <x:c r="A111" s="22" t="n">
        <x:v>109</x:v>
      </x:c>
      <x:c r="B111" s="20" t="str">
        <x:v>GYMSHARK</x:v>
      </x:c>
      <x:c r="C111" s="20" t="str">
        <x:v>Lucky Graphic Silicone Lifting Straps</x:v>
      </x:c>
      <x:c r="D111" s="20" t="str">
        <x:v>ACCESORIOS / STRAPS</x:v>
      </x:c>
      <x:c r="E111" s="20" t="str">
        <x:v>Tinted White</x:v>
      </x:c>
      <x:c r="F111" s="20" t="str">
        <x:v>One Size</x:v>
      </x:c>
      <x:c r="G111" s="22" t="n">
        <x:v>2</x:v>
      </x:c>
      <x:c r="H111" s="24" t="n">
        <x:v>26.4</x:v>
      </x:c>
      <x:c r="I111" s="24" t="n">
        <x:v>13.2</x:v>
      </x:c>
      <x:c r="J111" s="24" t="n">
        <x:v>26.4</x:v>
      </x:c>
      <x:c r="K111" s="20" t="str">
        <x:v>EN_TRANSITO</x:v>
      </x:c>
      <x:c r="L111" s="20" t="str">
        <x:v>PENDIENTE</x:v>
      </x:c>
      <x:c r="M111" s="20" t="str">
        <x:v>NO</x:v>
      </x:c>
      <x:c r="N111" s="22" t="n">
        <x:v>0</x:v>
      </x:c>
      <x:c r="O111" s="20" t="str">
        <x:v>IMG18</x:v>
      </x:c>
      <x:c r="P111" s="20" t="str">
        <x:v>Precio mostrado con Qty 2; unitario estimado = precio/qty.</x:v>
      </x:c>
      <x:c r="Q111" s="20" t="str">
        <x:v>Lucky Graphic Silicone Lifting Straps | Tinted White | One Size</x:v>
      </x:c>
    </x:row>
    <x:row r="112">
      <x:c r="A112" s="22" t="n">
        <x:v>110</x:v>
      </x:c>
      <x:c r="B112" s="20" t="str">
        <x:v>GYMSHARK</x:v>
      </x:c>
      <x:c r="C112" s="20" t="str">
        <x:v>1L Water Bottle</x:v>
      </x:c>
      <x:c r="D112" s="20" t="str">
        <x:v>ACCESORIOS / BOTELLAS</x:v>
      </x:c>
      <x:c r="E112" s="20" t="str">
        <x:v>Black</x:v>
      </x:c>
      <x:c r="F112" s="20" t="str">
        <x:v>One Size</x:v>
      </x:c>
      <x:c r="G112" s="22" t="n">
        <x:v>3</x:v>
      </x:c>
      <x:c r="H112" s="24" t="n">
        <x:v>16.8</x:v>
      </x:c>
      <x:c r="I112" s="24" t="n">
        <x:v>5.6</x:v>
      </x:c>
      <x:c r="J112" s="24" t="n">
        <x:v>16.8</x:v>
      </x:c>
      <x:c r="K112" s="20" t="str">
        <x:v>EN_TRANSITO</x:v>
      </x:c>
      <x:c r="L112" s="20" t="str">
        <x:v>PENDIENTE</x:v>
      </x:c>
      <x:c r="M112" s="20" t="str">
        <x:v>NO</x:v>
      </x:c>
      <x:c r="N112" s="22" t="n">
        <x:v>0</x:v>
      </x:c>
      <x:c r="O112" s="20" t="str">
        <x:v>IMG18</x:v>
      </x:c>
      <x:c r="P112" s="20" t="str">
        <x:v>Precio mostrado con Qty 3; unitario estimado = precio/qty.</x:v>
      </x:c>
      <x:c r="Q112" s="20" t="str">
        <x:v>1L Water Bottle | Black | One Size</x:v>
      </x:c>
    </x:row>
    <x:row r="113">
      <x:c r="A113" s="22" t="n">
        <x:v>111</x:v>
      </x:c>
      <x:c r="B113" s="20" t="str">
        <x:v>GYMSHARK</x:v>
      </x:c>
      <x:c r="C113" s="20" t="str">
        <x:v>Comfy Rest Day Socks</x:v>
      </x:c>
      <x:c r="D113" s="20" t="str">
        <x:v>ACCESORIOS / MEDIAS</x:v>
      </x:c>
      <x:c r="E113" s="20" t="str">
        <x:v>Soft White</x:v>
      </x:c>
      <x:c r="F113" s="20" t="str">
        <x:v>S</x:v>
      </x:c>
      <x:c r="G113" s="22" t="n">
        <x:v>2</x:v>
      </x:c>
      <x:c r="H113" s="24" t="n">
        <x:v>14</x:v>
      </x:c>
      <x:c r="I113" s="24" t="n">
        <x:v>7</x:v>
      </x:c>
      <x:c r="J113" s="24" t="n">
        <x:v>14</x:v>
      </x:c>
      <x:c r="K113" s="20" t="str">
        <x:v>EN_TRANSITO</x:v>
      </x:c>
      <x:c r="L113" s="20" t="str">
        <x:v>PENDIENTE</x:v>
      </x:c>
      <x:c r="M113" s="20" t="str">
        <x:v>NO</x:v>
      </x:c>
      <x:c r="N113" s="22" t="n">
        <x:v>0</x:v>
      </x:c>
      <x:c r="O113" s="20" t="str">
        <x:v>IMG18</x:v>
      </x:c>
      <x:c r="P113" s="20" t="str">
        <x:v>Precio mostrado con Qty 2; unitario estimado = precio/qty.</x:v>
      </x:c>
      <x:c r="Q113" s="20" t="str">
        <x:v>Comfy Rest Day Socks | Soft White | S</x:v>
      </x:c>
    </x:row>
    <x:row r="114">
      <x:c r="A114" s="22" t="n">
        <x:v>112</x:v>
      </x:c>
      <x:c r="B114" s="20" t="str">
        <x:v>GYMSHARK</x:v>
      </x:c>
      <x:c r="C114" s="20" t="str">
        <x:v>Comfy Rest Day Socks</x:v>
      </x:c>
      <x:c r="D114" s="20" t="str">
        <x:v>ACCESORIOS / MEDIAS</x:v>
      </x:c>
      <x:c r="E114" s="20" t="str">
        <x:v>Soft White</x:v>
      </x:c>
      <x:c r="F114" s="20" t="str">
        <x:v>M</x:v>
      </x:c>
      <x:c r="G114" s="22" t="n">
        <x:v>1</x:v>
      </x:c>
      <x:c r="H114" s="24" t="n">
        <x:v>7</x:v>
      </x:c>
      <x:c r="I114" s="24" t="n">
        <x:v>7</x:v>
      </x:c>
      <x:c r="J114" s="24" t="n">
        <x:v>7</x:v>
      </x:c>
      <x:c r="K114" s="20" t="str">
        <x:v>EN_TRANSITO</x:v>
      </x:c>
      <x:c r="L114" s="20" t="str">
        <x:v>PENDIENTE</x:v>
      </x:c>
      <x:c r="M114" s="20" t="str">
        <x:v>NO</x:v>
      </x:c>
      <x:c r="N114" s="22" t="n">
        <x:v>0</x:v>
      </x:c>
      <x:c r="O114" s="20" t="str">
        <x:v>IMG18</x:v>
      </x:c>
      <x:c r="P114" s="20"/>
      <x:c r="Q114" s="20" t="str">
        <x:v>Comfy Rest Day Socks | Soft White | M</x:v>
      </x:c>
    </x:row>
    <x:row r="115">
      <x:c r="A115" s="22" t="n">
        <x:v>113</x:v>
      </x:c>
      <x:c r="B115" s="20" t="str">
        <x:v>GYMSHARK</x:v>
      </x:c>
      <x:c r="C115" s="20" t="str">
        <x:v>Comfy Rest Day Socks</x:v>
      </x:c>
      <x:c r="D115" s="20" t="str">
        <x:v>ACCESORIOS / MEDIAS</x:v>
      </x:c>
      <x:c r="E115" s="20" t="str">
        <x:v>Pebble Grey</x:v>
      </x:c>
      <x:c r="F115" s="20" t="str">
        <x:v>S</x:v>
      </x:c>
      <x:c r="G115" s="22" t="n">
        <x:v>2</x:v>
      </x:c>
      <x:c r="H115" s="24" t="n">
        <x:v>14</x:v>
      </x:c>
      <x:c r="I115" s="24" t="n">
        <x:v>7</x:v>
      </x:c>
      <x:c r="J115" s="24" t="n">
        <x:v>14</x:v>
      </x:c>
      <x:c r="K115" s="20" t="str">
        <x:v>EN_TRANSITO</x:v>
      </x:c>
      <x:c r="L115" s="20" t="str">
        <x:v>PENDIENTE</x:v>
      </x:c>
      <x:c r="M115" s="20" t="str">
        <x:v>NO</x:v>
      </x:c>
      <x:c r="N115" s="22" t="n">
        <x:v>0</x:v>
      </x:c>
      <x:c r="O115" s="20" t="str">
        <x:v>IMG18</x:v>
      </x:c>
      <x:c r="P115" s="20" t="str">
        <x:v>Precio mostrado con Qty 2; unitario estimado = precio/qty.</x:v>
      </x:c>
      <x:c r="Q115" s="20" t="str">
        <x:v>Comfy Rest Day Socks | Pebble Grey | S</x:v>
      </x:c>
    </x:row>
    <x:row r="116">
      <x:c r="A116" s="22" t="n">
        <x:v>114</x:v>
      </x:c>
      <x:c r="B116" s="20" t="str">
        <x:v>GYMSHARK</x:v>
      </x:c>
      <x:c r="C116" s="20" t="str">
        <x:v>Comfy Rest Day Socks</x:v>
      </x:c>
      <x:c r="D116" s="20" t="str">
        <x:v>ACCESORIOS / MEDIAS</x:v>
      </x:c>
      <x:c r="E116" s="20" t="str">
        <x:v>Pebble Grey</x:v>
      </x:c>
      <x:c r="F116" s="20" t="str">
        <x:v>M</x:v>
      </x:c>
      <x:c r="G116" s="22" t="n">
        <x:v>1</x:v>
      </x:c>
      <x:c r="H116" s="24" t="n">
        <x:v>7</x:v>
      </x:c>
      <x:c r="I116" s="24" t="n">
        <x:v>7</x:v>
      </x:c>
      <x:c r="J116" s="24" t="n">
        <x:v>7</x:v>
      </x:c>
      <x:c r="K116" s="20" t="str">
        <x:v>EN_TRANSITO</x:v>
      </x:c>
      <x:c r="L116" s="20" t="str">
        <x:v>PENDIENTE</x:v>
      </x:c>
      <x:c r="M116" s="20" t="str">
        <x:v>NO</x:v>
      </x:c>
      <x:c r="N116" s="22" t="n">
        <x:v>0</x:v>
      </x:c>
      <x:c r="O116" s="20" t="str">
        <x:v>IMG18</x:v>
      </x:c>
      <x:c r="P116" s="20"/>
      <x:c r="Q116" s="20" t="str">
        <x:v>Comfy Rest Day Socks | Pebble Grey | M</x:v>
      </x:c>
    </x:row>
    <x:row r="117">
      <x:c r="A117" s="20" t="n">
        <x:v>115</x:v>
      </x:c>
      <x:c r="B117" s="20" t="str">
        <x:v>GYMSHARK</x:v>
      </x:c>
      <x:c r="C117" s="20" t="str">
        <x:v>Accent Conditioning Shorts</x:v>
      </x:c>
      <x:c r="D117" s="20" t="str">
        <x:v>SHORTS</x:v>
      </x:c>
      <x:c r="E117" s="20" t="str">
        <x:v>Force Blue</x:v>
      </x:c>
      <x:c r="F117" s="20" t="str">
        <x:v>M</x:v>
      </x:c>
      <x:c r="G117" s="22" t="n">
        <x:v>2</x:v>
      </x:c>
      <x:c r="H117" s="98" t="n">
        <x:v>36</x:v>
      </x:c>
      <x:c r="I117" s="98" t="n">
        <x:v>18</x:v>
      </x:c>
      <x:c r="J117" s="98" t="n">
        <x:v>36</x:v>
      </x:c>
      <x:c r="K117" s="20" t="str">
        <x:v>EN_TRANSITO</x:v>
      </x:c>
      <x:c r="L117" s="20" t="str">
        <x:v>PENDIENTE</x:v>
      </x:c>
      <x:c r="M117" s="20" t="str">
        <x:v>NO</x:v>
      </x:c>
      <x:c r="N117" s="22" t="n">
        <x:v>0</x:v>
      </x:c>
      <x:c r="O117" s="20" t="str">
        <x:v>IMG20</x:v>
      </x:c>
      <x:c r="P117" s="20" t="str">
        <x:v>Precio mostrado con Qty 2; unitario estimado = precio/qty.</x:v>
      </x:c>
      <x:c r="Q117" s="20" t="str">
        <x:v>Accent Conditioning Shorts | Force Blue | M</x:v>
      </x:c>
    </x:row>
    <x:row r="118">
      <x:c r="A118" s="20" t="n">
        <x:v>116</x:v>
      </x:c>
      <x:c r="B118" s="20" t="str">
        <x:v>GYMSHARK</x:v>
      </x:c>
      <x:c r="C118" s="20" t="str">
        <x:v>Accent Conditioning Shorts</x:v>
      </x:c>
      <x:c r="D118" s="20" t="str">
        <x:v>SHORTS</x:v>
      </x:c>
      <x:c r="E118" s="20" t="str">
        <x:v>Black/Conditioning Red</x:v>
      </x:c>
      <x:c r="F118" s="20" t="str">
        <x:v>XS</x:v>
      </x:c>
      <x:c r="G118" s="22" t="n">
        <x:v>2</x:v>
      </x:c>
      <x:c r="H118" s="98" t="n">
        <x:v>36</x:v>
      </x:c>
      <x:c r="I118" s="98" t="n">
        <x:v>18</x:v>
      </x:c>
      <x:c r="J118" s="98" t="n">
        <x:v>36</x:v>
      </x:c>
      <x:c r="K118" s="20" t="str">
        <x:v>EN_TRANSITO</x:v>
      </x:c>
      <x:c r="L118" s="20" t="str">
        <x:v>PENDIENTE</x:v>
      </x:c>
      <x:c r="M118" s="20" t="str">
        <x:v>NO</x:v>
      </x:c>
      <x:c r="N118" s="22" t="n">
        <x:v>0</x:v>
      </x:c>
      <x:c r="O118" s="20" t="str">
        <x:v>IMG20</x:v>
      </x:c>
      <x:c r="P118" s="20" t="str">
        <x:v>Precio mostrado con Qty 2; unitario estimado = precio/qty.</x:v>
      </x:c>
      <x:c r="Q118" s="20" t="str">
        <x:v>Accent Conditioning Shorts | Black/Conditioning Red | XS</x:v>
      </x:c>
    </x:row>
    <x:row r="119">
      <x:c r="A119" s="20" t="n">
        <x:v>117</x:v>
      </x:c>
      <x:c r="B119" s="20" t="str">
        <x:v>GYMSHARK</x:v>
      </x:c>
      <x:c r="C119" s="20" t="str">
        <x:v>Accent Conditioning Shorts</x:v>
      </x:c>
      <x:c r="D119" s="20" t="str">
        <x:v>SHORTS</x:v>
      </x:c>
      <x:c r="E119" s="20" t="str">
        <x:v>Black/Conditioning Red</x:v>
      </x:c>
      <x:c r="F119" s="20" t="str">
        <x:v>S</x:v>
      </x:c>
      <x:c r="G119" s="22" t="n">
        <x:v>2</x:v>
      </x:c>
      <x:c r="H119" s="98" t="n">
        <x:v>36</x:v>
      </x:c>
      <x:c r="I119" s="98" t="n">
        <x:v>18</x:v>
      </x:c>
      <x:c r="J119" s="98" t="n">
        <x:v>36</x:v>
      </x:c>
      <x:c r="K119" s="20" t="str">
        <x:v>EN_TRANSITO</x:v>
      </x:c>
      <x:c r="L119" s="20" t="str">
        <x:v>PENDIENTE</x:v>
      </x:c>
      <x:c r="M119" s="20" t="str">
        <x:v>NO</x:v>
      </x:c>
      <x:c r="N119" s="22" t="n">
        <x:v>0</x:v>
      </x:c>
      <x:c r="O119" s="20" t="str">
        <x:v>IMG20</x:v>
      </x:c>
      <x:c r="P119" s="20" t="str">
        <x:v>Precio mostrado con Qty 2; unitario estimado = precio/qty.</x:v>
      </x:c>
      <x:c r="Q119" s="20" t="str">
        <x:v>Accent Conditioning Shorts | Black/Conditioning Red | S</x:v>
      </x:c>
    </x:row>
    <x:row r="120">
      <x:c r="A120" s="20" t="n">
        <x:v>118</x:v>
      </x:c>
      <x:c r="B120" s="20" t="str">
        <x:v>GYMSHARK</x:v>
      </x:c>
      <x:c r="C120" s="20" t="str">
        <x:v>Accent Conditioning Shorts</x:v>
      </x:c>
      <x:c r="D120" s="20" t="str">
        <x:v>SHORTS</x:v>
      </x:c>
      <x:c r="E120" s="20" t="str">
        <x:v>Black/Conditioning Red</x:v>
      </x:c>
      <x:c r="F120" s="20" t="str">
        <x:v>M</x:v>
      </x:c>
      <x:c r="G120" s="22" t="n">
        <x:v>2</x:v>
      </x:c>
      <x:c r="H120" s="98" t="n">
        <x:v>36</x:v>
      </x:c>
      <x:c r="I120" s="98" t="n">
        <x:v>18</x:v>
      </x:c>
      <x:c r="J120" s="98" t="n">
        <x:v>36</x:v>
      </x:c>
      <x:c r="K120" s="20" t="str">
        <x:v>EN_TRANSITO</x:v>
      </x:c>
      <x:c r="L120" s="20" t="str">
        <x:v>PENDIENTE</x:v>
      </x:c>
      <x:c r="M120" s="20" t="str">
        <x:v>NO</x:v>
      </x:c>
      <x:c r="N120" s="22" t="n">
        <x:v>0</x:v>
      </x:c>
      <x:c r="O120" s="20" t="str">
        <x:v>IMG20</x:v>
      </x:c>
      <x:c r="P120" s="20" t="str">
        <x:v>Precio mostrado con Qty 2; unitario estimado = precio/qty.</x:v>
      </x:c>
      <x:c r="Q120" s="20" t="str">
        <x:v>Accent Conditioning Shorts | Black/Conditioning Red | M</x:v>
      </x:c>
    </x:row>
    <x:row r="121">
      <x:c r="A121" s="20" t="n">
        <x:v>119</x:v>
      </x:c>
      <x:c r="B121" s="20" t="str">
        <x:v>GYMSHARK</x:v>
      </x:c>
      <x:c r="C121" s="20" t="str">
        <x:v>Accent Conditioning Shorts</x:v>
      </x:c>
      <x:c r="D121" s="20" t="str">
        <x:v>SHORTS</x:v>
      </x:c>
      <x:c r="E121" s="20" t="str">
        <x:v>Athletic Red</x:v>
      </x:c>
      <x:c r="F121" s="20" t="str">
        <x:v>XS</x:v>
      </x:c>
      <x:c r="G121" s="22" t="n">
        <x:v>2</x:v>
      </x:c>
      <x:c r="H121" s="98" t="n">
        <x:v>36</x:v>
      </x:c>
      <x:c r="I121" s="98" t="n">
        <x:v>18</x:v>
      </x:c>
      <x:c r="J121" s="98" t="n">
        <x:v>36</x:v>
      </x:c>
      <x:c r="K121" s="20" t="str">
        <x:v>EN_TRANSITO</x:v>
      </x:c>
      <x:c r="L121" s="20" t="str">
        <x:v>PENDIENTE</x:v>
      </x:c>
      <x:c r="M121" s="20" t="str">
        <x:v>NO</x:v>
      </x:c>
      <x:c r="N121" s="22" t="n">
        <x:v>0</x:v>
      </x:c>
      <x:c r="O121" s="20" t="str">
        <x:v>IMG20</x:v>
      </x:c>
      <x:c r="P121" s="20" t="str">
        <x:v>Precio mostrado con Qty 2; unitario estimado = precio/qty.</x:v>
      </x:c>
      <x:c r="Q121" s="20" t="str">
        <x:v>Accent Conditioning Shorts | Athletic Red | XS</x:v>
      </x:c>
    </x:row>
    <x:row r="122">
      <x:c r="A122" s="20" t="n">
        <x:v>120</x:v>
      </x:c>
      <x:c r="B122" s="20" t="str">
        <x:v>GYMSHARK</x:v>
      </x:c>
      <x:c r="C122" s="20" t="str">
        <x:v>Accent Conditioning Shorts</x:v>
      </x:c>
      <x:c r="D122" s="20" t="str">
        <x:v>SHORTS</x:v>
      </x:c>
      <x:c r="E122" s="20" t="str">
        <x:v>Athletic Red</x:v>
      </x:c>
      <x:c r="F122" s="20" t="str">
        <x:v>S</x:v>
      </x:c>
      <x:c r="G122" s="22" t="n">
        <x:v>2</x:v>
      </x:c>
      <x:c r="H122" s="98" t="n">
        <x:v>36</x:v>
      </x:c>
      <x:c r="I122" s="98" t="n">
        <x:v>18</x:v>
      </x:c>
      <x:c r="J122" s="98" t="n">
        <x:v>36</x:v>
      </x:c>
      <x:c r="K122" s="20" t="str">
        <x:v>EN_TRANSITO</x:v>
      </x:c>
      <x:c r="L122" s="20" t="str">
        <x:v>PENDIENTE</x:v>
      </x:c>
      <x:c r="M122" s="20" t="str">
        <x:v>NO</x:v>
      </x:c>
      <x:c r="N122" s="22" t="n">
        <x:v>0</x:v>
      </x:c>
      <x:c r="O122" s="20" t="str">
        <x:v>IMG20</x:v>
      </x:c>
      <x:c r="P122" s="20" t="str">
        <x:v>Precio mostrado con Qty 2; unitario estimado = precio/qty.</x:v>
      </x:c>
      <x:c r="Q122" s="20" t="str">
        <x:v>Accent Conditioning Shorts | Athletic Red | S</x:v>
      </x:c>
    </x:row>
    <x:row r="123">
      <x:c r="A123" s="20" t="n">
        <x:v>121</x:v>
      </x:c>
      <x:c r="B123" s="20" t="str">
        <x:v>GYMSHARK</x:v>
      </x:c>
      <x:c r="C123" s="20" t="str">
        <x:v>Accent Conditioning Shorts</x:v>
      </x:c>
      <x:c r="D123" s="20" t="str">
        <x:v>SHORTS</x:v>
      </x:c>
      <x:c r="E123" s="20" t="str">
        <x:v>Athletic Red</x:v>
      </x:c>
      <x:c r="F123" s="20" t="str">
        <x:v>M</x:v>
      </x:c>
      <x:c r="G123" s="22" t="n">
        <x:v>2</x:v>
      </x:c>
      <x:c r="H123" s="98" t="n">
        <x:v>36</x:v>
      </x:c>
      <x:c r="I123" s="98" t="n">
        <x:v>18</x:v>
      </x:c>
      <x:c r="J123" s="98" t="n">
        <x:v>36</x:v>
      </x:c>
      <x:c r="K123" s="20" t="str">
        <x:v>EN_TRANSITO</x:v>
      </x:c>
      <x:c r="L123" s="20" t="str">
        <x:v>PENDIENTE</x:v>
      </x:c>
      <x:c r="M123" s="20" t="str">
        <x:v>NO</x:v>
      </x:c>
      <x:c r="N123" s="22" t="n">
        <x:v>0</x:v>
      </x:c>
      <x:c r="O123" s="20" t="str">
        <x:v>IMG20</x:v>
      </x:c>
      <x:c r="P123" s="20" t="str">
        <x:v>Precio mostrado con Qty 2; unitario estimado = precio/qty.</x:v>
      </x:c>
      <x:c r="Q123" s="20" t="str">
        <x:v>Accent Conditioning Shorts | Athletic Red | M</x:v>
      </x:c>
    </x:row>
    <x:row r="124">
      <x:c r="A124" s="20" t="n">
        <x:v>122</x:v>
      </x:c>
      <x:c r="B124" s="20" t="str">
        <x:v>GYMSHARK</x:v>
      </x:c>
      <x:c r="C124" s="20" t="str">
        <x:v>Lifting Mesh 5" Shorts</x:v>
      </x:c>
      <x:c r="D124" s="20" t="str">
        <x:v>SHORTS</x:v>
      </x:c>
      <x:c r="E124" s="20" t="str">
        <x:v>Super-Set Pink</x:v>
      </x:c>
      <x:c r="F124" s="20" t="str">
        <x:v>XS</x:v>
      </x:c>
      <x:c r="G124" s="22" t="n">
        <x:v>2</x:v>
      </x:c>
      <x:c r="H124" s="98" t="n">
        <x:v>40</x:v>
      </x:c>
      <x:c r="I124" s="98" t="n">
        <x:v>20</x:v>
      </x:c>
      <x:c r="J124" s="98" t="n">
        <x:v>40</x:v>
      </x:c>
      <x:c r="K124" s="20" t="str">
        <x:v>EN_TRANSITO</x:v>
      </x:c>
      <x:c r="L124" s="20" t="str">
        <x:v>PENDIENTE</x:v>
      </x:c>
      <x:c r="M124" s="20" t="str">
        <x:v>NO</x:v>
      </x:c>
      <x:c r="N124" s="22" t="n">
        <x:v>0</x:v>
      </x:c>
      <x:c r="O124" s="20" t="str">
        <x:v>IMG21</x:v>
      </x:c>
      <x:c r="P124" s="20" t="str">
        <x:v>Precio mostrado con Qty 2; unitario estimado = precio/qty.</x:v>
      </x:c>
      <x:c r="Q124" s="20" t="str">
        <x:v>Lifting Mesh 5" Shorts | Super-Set Pink | XS</x:v>
      </x:c>
    </x:row>
    <x:row r="125">
      <x:c r="A125" s="20" t="n">
        <x:v>123</x:v>
      </x:c>
      <x:c r="B125" s="20" t="str">
        <x:v>GYMSHARK</x:v>
      </x:c>
      <x:c r="C125" s="20" t="str">
        <x:v>Lifting Mesh 5" Shorts</x:v>
      </x:c>
      <x:c r="D125" s="20" t="str">
        <x:v>SHORTS</x:v>
      </x:c>
      <x:c r="E125" s="20" t="str">
        <x:v>Super-Set Pink</x:v>
      </x:c>
      <x:c r="F125" s="20" t="str">
        <x:v>S</x:v>
      </x:c>
      <x:c r="G125" s="22" t="n">
        <x:v>2</x:v>
      </x:c>
      <x:c r="H125" s="98" t="n">
        <x:v>40</x:v>
      </x:c>
      <x:c r="I125" s="98" t="n">
        <x:v>20</x:v>
      </x:c>
      <x:c r="J125" s="98" t="n">
        <x:v>40</x:v>
      </x:c>
      <x:c r="K125" s="20" t="str">
        <x:v>EN_TRANSITO</x:v>
      </x:c>
      <x:c r="L125" s="20" t="str">
        <x:v>PENDIENTE</x:v>
      </x:c>
      <x:c r="M125" s="20" t="str">
        <x:v>NO</x:v>
      </x:c>
      <x:c r="N125" s="22" t="n">
        <x:v>0</x:v>
      </x:c>
      <x:c r="O125" s="20" t="str">
        <x:v>IMG21</x:v>
      </x:c>
      <x:c r="P125" s="20" t="str">
        <x:v>Precio mostrado con Qty 2; unitario estimado = precio/qty.</x:v>
      </x:c>
      <x:c r="Q125" s="20" t="str">
        <x:v>Lifting Mesh 5" Shorts | Super-Set Pink | S</x:v>
      </x:c>
    </x:row>
    <x:row r="126">
      <x:c r="A126" s="20" t="n">
        <x:v>124</x:v>
      </x:c>
      <x:c r="B126" s="20" t="str">
        <x:v>GYMSHARK</x:v>
      </x:c>
      <x:c r="C126" s="20" t="str">
        <x:v>Adapt Animal Tank Top with Shelf</x:v>
      </x:c>
      <x:c r="D126" s="20" t="str">
        <x:v>TOPS / TANK</x:v>
      </x:c>
      <x:c r="E126" s="20" t="str">
        <x:v>Black/Asphalt Grey</x:v>
      </x:c>
      <x:c r="F126" s="20" t="str">
        <x:v>S</x:v>
      </x:c>
      <x:c r="G126" s="22" t="n">
        <x:v>1</x:v>
      </x:c>
      <x:c r="H126" s="98" t="n">
        <x:v>19</x:v>
      </x:c>
      <x:c r="I126" s="98" t="n">
        <x:v>19</x:v>
      </x:c>
      <x:c r="J126" s="98" t="n">
        <x:v>19</x:v>
      </x:c>
      <x:c r="K126" s="20" t="str">
        <x:v>EN_TRANSITO</x:v>
      </x:c>
      <x:c r="L126" s="20" t="str">
        <x:v>PENDIENTE</x:v>
      </x:c>
      <x:c r="M126" s="20" t="str">
        <x:v>NO</x:v>
      </x:c>
      <x:c r="N126" s="22" t="n">
        <x:v>0</x:v>
      </x:c>
      <x:c r="O126" s="20" t="str">
        <x:v>IMG22</x:v>
      </x:c>
      <x:c r="P126" s="20"/>
      <x:c r="Q126" s="20" t="str">
        <x:v>Adapt Animal Tank Top with Shelf | Black/Asphalt Grey | S</x:v>
      </x:c>
    </x:row>
    <x:row r="127">
      <x:c r="A127" s="20" t="n">
        <x:v>125</x:v>
      </x:c>
      <x:c r="B127" s="20" t="str">
        <x:v>GYMSHARK</x:v>
      </x:c>
      <x:c r="C127" s="20" t="str">
        <x:v>Adapt Animal Tank Top with Shelf</x:v>
      </x:c>
      <x:c r="D127" s="20" t="str">
        <x:v>TOPS / TANK</x:v>
      </x:c>
      <x:c r="E127" s="20" t="str">
        <x:v>Black/Asphalt Grey</x:v>
      </x:c>
      <x:c r="F127" s="20" t="str">
        <x:v>XS</x:v>
      </x:c>
      <x:c r="G127" s="22" t="n">
        <x:v>1</x:v>
      </x:c>
      <x:c r="H127" s="98" t="n">
        <x:v>19</x:v>
      </x:c>
      <x:c r="I127" s="98" t="n">
        <x:v>19</x:v>
      </x:c>
      <x:c r="J127" s="98" t="n">
        <x:v>19</x:v>
      </x:c>
      <x:c r="K127" s="20" t="str">
        <x:v>EN_TRANSITO</x:v>
      </x:c>
      <x:c r="L127" s="20" t="str">
        <x:v>PENDIENTE</x:v>
      </x:c>
      <x:c r="M127" s="20" t="str">
        <x:v>NO</x:v>
      </x:c>
      <x:c r="N127" s="22" t="n">
        <x:v>0</x:v>
      </x:c>
      <x:c r="O127" s="20" t="str">
        <x:v>IMG22</x:v>
      </x:c>
      <x:c r="P127" s="20"/>
      <x:c r="Q127" s="20" t="str">
        <x:v>Adapt Animal Tank Top with Shelf | Black/Asphalt Grey | XS</x:v>
      </x:c>
    </x:row>
    <x:row r="128">
      <x:c r="A128" s="20" t="n">
        <x:v>126</x:v>
      </x:c>
      <x:c r="B128" s="20" t="str">
        <x:v>GYMSHARK</x:v>
      </x:c>
      <x:c r="C128" s="20" t="str">
        <x:v>Adapt Animal Tank Top with Shelf</x:v>
      </x:c>
      <x:c r="D128" s="20" t="str">
        <x:v>TOPS / TANK</x:v>
      </x:c>
      <x:c r="E128" s="20" t="str">
        <x:v>Electric Pink/Sorbet Yellow</x:v>
      </x:c>
      <x:c r="F128" s="20" t="str">
        <x:v>XS</x:v>
      </x:c>
      <x:c r="G128" s="22" t="n">
        <x:v>1</x:v>
      </x:c>
      <x:c r="H128" s="98" t="n">
        <x:v>19</x:v>
      </x:c>
      <x:c r="I128" s="98" t="n">
        <x:v>19</x:v>
      </x:c>
      <x:c r="J128" s="98" t="n">
        <x:v>19</x:v>
      </x:c>
      <x:c r="K128" s="20" t="str">
        <x:v>EN_TRANSITO</x:v>
      </x:c>
      <x:c r="L128" s="20" t="str">
        <x:v>PENDIENTE</x:v>
      </x:c>
      <x:c r="M128" s="20" t="str">
        <x:v>NO</x:v>
      </x:c>
      <x:c r="N128" s="22" t="n">
        <x:v>0</x:v>
      </x:c>
      <x:c r="O128" s="20" t="str">
        <x:v>IMG22</x:v>
      </x:c>
      <x:c r="P128" s="20"/>
      <x:c r="Q128" s="20" t="str">
        <x:v>Adapt Animal Tank Top with Shelf | Electric Pink/Sorbet Yellow | XS</x:v>
      </x:c>
    </x:row>
    <x:row r="129">
      <x:c r="A129" s="20" t="n">
        <x:v>127</x:v>
      </x:c>
      <x:c r="B129" s="20" t="str">
        <x:v>GYMSHARK</x:v>
      </x:c>
      <x:c r="C129" s="20" t="str">
        <x:v>Adapt Animal Tank Top with Shelf</x:v>
      </x:c>
      <x:c r="D129" s="20" t="str">
        <x:v>TOPS / TANK</x:v>
      </x:c>
      <x:c r="E129" s="20" t="str">
        <x:v>Electric Pink/Sorbet Yellow</x:v>
      </x:c>
      <x:c r="F129" s="20" t="str">
        <x:v>S</x:v>
      </x:c>
      <x:c r="G129" s="22" t="n">
        <x:v>1</x:v>
      </x:c>
      <x:c r="H129" s="98" t="n">
        <x:v>19</x:v>
      </x:c>
      <x:c r="I129" s="98" t="n">
        <x:v>19</x:v>
      </x:c>
      <x:c r="J129" s="98" t="n">
        <x:v>19</x:v>
      </x:c>
      <x:c r="K129" s="20" t="str">
        <x:v>EN_TRANSITO</x:v>
      </x:c>
      <x:c r="L129" s="20" t="str">
        <x:v>PENDIENTE</x:v>
      </x:c>
      <x:c r="M129" s="20" t="str">
        <x:v>NO</x:v>
      </x:c>
      <x:c r="N129" s="22" t="n">
        <x:v>0</x:v>
      </x:c>
      <x:c r="O129" s="20" t="str">
        <x:v>IMG22</x:v>
      </x:c>
      <x:c r="P129" s="20"/>
      <x:c r="Q129" s="20" t="str">
        <x:v>Adapt Animal Tank Top with Shelf | Electric Pink/Sorbet Yellow | S</x:v>
      </x:c>
    </x:row>
    <x:row r="130">
      <x:c r="A130" s="20" t="n">
        <x:v>128</x:v>
      </x:c>
      <x:c r="B130" s="20" t="str">
        <x:v>GYMSHARK</x:v>
      </x:c>
      <x:c r="C130" s="20" t="str">
        <x:v>Adapt Animal Tank Top with Shelf</x:v>
      </x:c>
      <x:c r="D130" s="20" t="str">
        <x:v>TOPS / TANK</x:v>
      </x:c>
      <x:c r="E130" s="20" t="str">
        <x:v>Black/Asphalt Grey</x:v>
      </x:c>
      <x:c r="F130" s="20" t="str">
        <x:v>M</x:v>
      </x:c>
      <x:c r="G130" s="22" t="n">
        <x:v>1</x:v>
      </x:c>
      <x:c r="H130" s="98" t="n">
        <x:v>19</x:v>
      </x:c>
      <x:c r="I130" s="98" t="n">
        <x:v>19</x:v>
      </x:c>
      <x:c r="J130" s="98" t="n">
        <x:v>19</x:v>
      </x:c>
      <x:c r="K130" s="20" t="str">
        <x:v>EN_TRANSITO</x:v>
      </x:c>
      <x:c r="L130" s="20" t="str">
        <x:v>PENDIENTE</x:v>
      </x:c>
      <x:c r="M130" s="20" t="str">
        <x:v>NO</x:v>
      </x:c>
      <x:c r="N130" s="22" t="n">
        <x:v>0</x:v>
      </x:c>
      <x:c r="O130" s="20" t="str">
        <x:v>IMG22</x:v>
      </x:c>
      <x:c r="P130" s="20"/>
      <x:c r="Q130" s="20" t="str">
        <x:v>Adapt Animal Tank Top with Shelf | Black/Asphalt Grey | M</x:v>
      </x:c>
    </x:row>
    <x:row r="131">
      <x:c r="A131" s="20" t="n">
        <x:v>129</x:v>
      </x:c>
      <x:c r="B131" s="20" t="str">
        <x:v>GYMSHARK</x:v>
      </x:c>
      <x:c r="C131" s="20" t="str">
        <x:v>Adapt Animal Sports Bra</x:v>
      </x:c>
      <x:c r="D131" s="20" t="str">
        <x:v>TOPS / SPORTS BRA</x:v>
      </x:c>
      <x:c r="E131" s="20" t="str">
        <x:v>Black/Asphalt Grey</x:v>
      </x:c>
      <x:c r="F131" s="20" t="str">
        <x:v>S</x:v>
      </x:c>
      <x:c r="G131" s="22" t="n">
        <x:v>1</x:v>
      </x:c>
      <x:c r="H131" s="98" t="n">
        <x:v>22</x:v>
      </x:c>
      <x:c r="I131" s="98" t="n">
        <x:v>22</x:v>
      </x:c>
      <x:c r="J131" s="98" t="n">
        <x:v>22</x:v>
      </x:c>
      <x:c r="K131" s="20" t="str">
        <x:v>EN_TRANSITO</x:v>
      </x:c>
      <x:c r="L131" s="20" t="str">
        <x:v>PENDIENTE</x:v>
      </x:c>
      <x:c r="M131" s="20" t="str">
        <x:v>NO</x:v>
      </x:c>
      <x:c r="N131" s="22" t="n">
        <x:v>0</x:v>
      </x:c>
      <x:c r="O131" s="20" t="str">
        <x:v>IMG22</x:v>
      </x:c>
      <x:c r="P131" s="20"/>
      <x:c r="Q131" s="20" t="str">
        <x:v>Adapt Animal Sports Bra | Black/Asphalt Grey | S</x:v>
      </x:c>
    </x:row>
    <x:row r="132">
      <x:c r="A132" s="20" t="n">
        <x:v>130</x:v>
      </x:c>
      <x:c r="B132" s="20" t="str">
        <x:v>GYMSHARK</x:v>
      </x:c>
      <x:c r="C132" s="20" t="str">
        <x:v>Adapt Animal Sports Bra</x:v>
      </x:c>
      <x:c r="D132" s="20" t="str">
        <x:v>TOPS / SPORTS BRA</x:v>
      </x:c>
      <x:c r="E132" s="20" t="str">
        <x:v>Black/Asphalt Grey</x:v>
      </x:c>
      <x:c r="F132" s="20" t="str">
        <x:v>M</x:v>
      </x:c>
      <x:c r="G132" s="22" t="n">
        <x:v>1</x:v>
      </x:c>
      <x:c r="H132" s="98" t="n">
        <x:v>22</x:v>
      </x:c>
      <x:c r="I132" s="98" t="n">
        <x:v>22</x:v>
      </x:c>
      <x:c r="J132" s="98" t="n">
        <x:v>22</x:v>
      </x:c>
      <x:c r="K132" s="20" t="str">
        <x:v>EN_TRANSITO</x:v>
      </x:c>
      <x:c r="L132" s="20" t="str">
        <x:v>PENDIENTE</x:v>
      </x:c>
      <x:c r="M132" s="20" t="str">
        <x:v>NO</x:v>
      </x:c>
      <x:c r="N132" s="22" t="n">
        <x:v>0</x:v>
      </x:c>
      <x:c r="O132" s="20" t="str">
        <x:v>IMG22</x:v>
      </x:c>
      <x:c r="P132" s="20"/>
      <x:c r="Q132" s="20" t="str">
        <x:v>Adapt Animal Sports Bra | Black/Asphalt Grey | M</x:v>
      </x:c>
    </x:row>
    <x:row r="133">
      <x:c r="A133" s="20" t="n">
        <x:v>131</x:v>
      </x:c>
      <x:c r="B133" s="20" t="str">
        <x:v>GYMSHARK</x:v>
      </x:c>
      <x:c r="C133" s="20" t="str">
        <x:v>Adapt Animal Sports Bra</x:v>
      </x:c>
      <x:c r="D133" s="20" t="str">
        <x:v>TOPS / SPORTS BRA</x:v>
      </x:c>
      <x:c r="E133" s="20" t="str">
        <x:v>Electric Pink/Sorbet Yellow</x:v>
      </x:c>
      <x:c r="F133" s="20" t="str">
        <x:v>S</x:v>
      </x:c>
      <x:c r="G133" s="22" t="n">
        <x:v>1</x:v>
      </x:c>
      <x:c r="H133" s="98" t="n">
        <x:v>22</x:v>
      </x:c>
      <x:c r="I133" s="98" t="n">
        <x:v>22</x:v>
      </x:c>
      <x:c r="J133" s="98" t="n">
        <x:v>22</x:v>
      </x:c>
      <x:c r="K133" s="20" t="str">
        <x:v>EN_TRANSITO</x:v>
      </x:c>
      <x:c r="L133" s="20" t="str">
        <x:v>PENDIENTE</x:v>
      </x:c>
      <x:c r="M133" s="20" t="str">
        <x:v>NO</x:v>
      </x:c>
      <x:c r="N133" s="22" t="n">
        <x:v>0</x:v>
      </x:c>
      <x:c r="O133" s="20" t="str">
        <x:v>IMG23</x:v>
      </x:c>
      <x:c r="P133" s="20"/>
      <x:c r="Q133" s="20" t="str">
        <x:v>Adapt Animal Sports Bra | Electric Pink/Sorbet Yellow | S</x:v>
      </x:c>
    </x:row>
    <x:row r="134">
      <x:c r="A134" s="20" t="n">
        <x:v>132</x:v>
      </x:c>
      <x:c r="B134" s="20" t="str">
        <x:v>GYMSHARK</x:v>
      </x:c>
      <x:c r="C134" s="20" t="str">
        <x:v>Minimal Sports Bra</x:v>
      </x:c>
      <x:c r="D134" s="20" t="str">
        <x:v>TOPS / SPORTS BRA</x:v>
      </x:c>
      <x:c r="E134" s="20" t="str">
        <x:v>Electric Pink</x:v>
      </x:c>
      <x:c r="F134" s="20" t="str">
        <x:v>M</x:v>
      </x:c>
      <x:c r="G134" s="22" t="n">
        <x:v>1</x:v>
      </x:c>
      <x:c r="H134" s="98" t="n">
        <x:v>15</x:v>
      </x:c>
      <x:c r="I134" s="98" t="n">
        <x:v>15</x:v>
      </x:c>
      <x:c r="J134" s="98" t="n">
        <x:v>15</x:v>
      </x:c>
      <x:c r="K134" s="20" t="str">
        <x:v>EN_TRANSITO</x:v>
      </x:c>
      <x:c r="L134" s="20" t="str">
        <x:v>PENDIENTE</x:v>
      </x:c>
      <x:c r="M134" s="20" t="str">
        <x:v>NO</x:v>
      </x:c>
      <x:c r="N134" s="22" t="n">
        <x:v>0</x:v>
      </x:c>
      <x:c r="O134" s="20" t="str">
        <x:v>IMG23</x:v>
      </x:c>
      <x:c r="P134" s="20"/>
      <x:c r="Q134" s="20" t="str">
        <x:v>Minimal Sports Bra | Electric Pink | M</x:v>
      </x:c>
    </x:row>
    <x:row r="135">
      <x:c r="A135" s="20" t="n">
        <x:v>133</x:v>
      </x:c>
      <x:c r="B135" s="20" t="str">
        <x:v>GYMSHARK</x:v>
      </x:c>
      <x:c r="C135" s="20" t="str">
        <x:v>Cotton Blend Racerback Sports Bra</x:v>
      </x:c>
      <x:c r="D135" s="20" t="str">
        <x:v>TOPS / SPORTS BRA</x:v>
      </x:c>
      <x:c r="E135" s="20" t="str">
        <x:v>Black</x:v>
      </x:c>
      <x:c r="F135" s="20" t="str">
        <x:v>S</x:v>
      </x:c>
      <x:c r="G135" s="22" t="n">
        <x:v>1</x:v>
      </x:c>
      <x:c r="H135" s="98" t="n">
        <x:v>15</x:v>
      </x:c>
      <x:c r="I135" s="98" t="n">
        <x:v>15</x:v>
      </x:c>
      <x:c r="J135" s="98" t="n">
        <x:v>15</x:v>
      </x:c>
      <x:c r="K135" s="20" t="str">
        <x:v>EN_TRANSITO</x:v>
      </x:c>
      <x:c r="L135" s="20" t="str">
        <x:v>PENDIENTE</x:v>
      </x:c>
      <x:c r="M135" s="20" t="str">
        <x:v>NO</x:v>
      </x:c>
      <x:c r="N135" s="22" t="n">
        <x:v>0</x:v>
      </x:c>
      <x:c r="O135" s="20" t="str">
        <x:v>IMG23</x:v>
      </x:c>
      <x:c r="P135" s="20"/>
      <x:c r="Q135" s="20" t="str">
        <x:v>Cotton Blend Racerback Sports Bra | Black | S</x:v>
      </x:c>
    </x:row>
    <x:row r="136">
      <x:c r="A136" s="20" t="n">
        <x:v>134</x:v>
      </x:c>
      <x:c r="B136" s="20" t="str">
        <x:v>GYMSHARK</x:v>
      </x:c>
      <x:c r="C136" s="20" t="str">
        <x:v>Apres Lift Graphic Crew Sock Single</x:v>
      </x:c>
      <x:c r="D136" s="20" t="str">
        <x:v>ACCESORIOS / MEDIAS</x:v>
      </x:c>
      <x:c r="E136" s="20" t="str">
        <x:v>Soft White</x:v>
      </x:c>
      <x:c r="F136" s="20" t="str">
        <x:v>M</x:v>
      </x:c>
      <x:c r="G136" s="22" t="n">
        <x:v>2</x:v>
      </x:c>
      <x:c r="H136" s="98" t="n">
        <x:v>16</x:v>
      </x:c>
      <x:c r="I136" s="98" t="n">
        <x:v>8</x:v>
      </x:c>
      <x:c r="J136" s="98" t="n">
        <x:v>16</x:v>
      </x:c>
      <x:c r="K136" s="20" t="str">
        <x:v>EN_TRANSITO</x:v>
      </x:c>
      <x:c r="L136" s="20" t="str">
        <x:v>PENDIENTE</x:v>
      </x:c>
      <x:c r="M136" s="20" t="str">
        <x:v>NO</x:v>
      </x:c>
      <x:c r="N136" s="22" t="n">
        <x:v>0</x:v>
      </x:c>
      <x:c r="O136" s="20" t="str">
        <x:v>IMG23</x:v>
      </x:c>
      <x:c r="P136" s="20" t="str">
        <x:v>Precio mostrado con Qty 2; unitario estimado = precio/qty.</x:v>
      </x:c>
      <x:c r="Q136" s="20" t="str">
        <x:v>Apres Lift Graphic Crew Sock Single | Soft White | M</x:v>
      </x:c>
    </x:row>
    <x:row r="137">
      <x:c r="A137" s="20" t="n">
        <x:v>135</x:v>
      </x:c>
      <x:c r="B137" s="20" t="str">
        <x:v>GYMSHARK</x:v>
      </x:c>
      <x:c r="C137" s="20" t="str">
        <x:v>Running Graphic Crew Socks 2pk</x:v>
      </x:c>
      <x:c r="D137" s="20" t="str">
        <x:v>ACCESORIOS / MEDIAS</x:v>
      </x:c>
      <x:c r="E137" s="20" t="str">
        <x:v>White/Black</x:v>
      </x:c>
      <x:c r="F137" s="20" t="str">
        <x:v>S</x:v>
      </x:c>
      <x:c r="G137" s="22" t="n">
        <x:v>2</x:v>
      </x:c>
      <x:c r="H137" s="98" t="n">
        <x:v>24</x:v>
      </x:c>
      <x:c r="I137" s="98" t="n">
        <x:v>12</x:v>
      </x:c>
      <x:c r="J137" s="98" t="n">
        <x:v>24</x:v>
      </x:c>
      <x:c r="K137" s="20" t="str">
        <x:v>EN_TRANSITO</x:v>
      </x:c>
      <x:c r="L137" s="20" t="str">
        <x:v>PENDIENTE</x:v>
      </x:c>
      <x:c r="M137" s="20" t="str">
        <x:v>NO</x:v>
      </x:c>
      <x:c r="N137" s="22" t="n">
        <x:v>0</x:v>
      </x:c>
      <x:c r="O137" s="20" t="str">
        <x:v>IMG23</x:v>
      </x:c>
      <x:c r="P137" s="20" t="str">
        <x:v>Precio mostrado con Qty 2; unitario estimado = precio/qty.</x:v>
      </x:c>
      <x:c r="Q137" s="20" t="str">
        <x:v>Running Graphic Crew Socks 2pk | White/Black | S</x:v>
      </x:c>
    </x:row>
    <x:row r="138">
      <x:c r="A138" s="20" t="n">
        <x:v>136</x:v>
      </x:c>
      <x:c r="B138" s="20" t="str">
        <x:v>GYMSHARK</x:v>
      </x:c>
      <x:c r="C138" s="20" t="str">
        <x:v>Minimal Sports Bra 2.0</x:v>
      </x:c>
      <x:c r="D138" s="20" t="str">
        <x:v>TOPS / SPORTS BRA</x:v>
      </x:c>
      <x:c r="E138" s="20" t="str">
        <x:v>Poise Pink</x:v>
      </x:c>
      <x:c r="F138" s="20" t="str">
        <x:v>S</x:v>
      </x:c>
      <x:c r="G138" s="22" t="n">
        <x:v>1</x:v>
      </x:c>
      <x:c r="H138" s="98" t="n">
        <x:v>24</x:v>
      </x:c>
      <x:c r="I138" s="98" t="n">
        <x:v>24</x:v>
      </x:c>
      <x:c r="J138" s="98" t="n">
        <x:v>24</x:v>
      </x:c>
      <x:c r="K138" s="20" t="str">
        <x:v>EN_TRANSITO</x:v>
      </x:c>
      <x:c r="L138" s="20" t="str">
        <x:v>PENDIENTE</x:v>
      </x:c>
      <x:c r="M138" s="20" t="str">
        <x:v>NO</x:v>
      </x:c>
      <x:c r="N138" s="22" t="n">
        <x:v>0</x:v>
      </x:c>
      <x:c r="O138" s="20" t="str">
        <x:v>IMG23</x:v>
      </x:c>
      <x:c r="P138" s="20"/>
      <x:c r="Q138" s="20" t="str">
        <x:v>Minimal Sports Bra 2.0 | Poise Pink | S</x:v>
      </x:c>
    </x:row>
    <x:row r="139">
      <x:c r="A139" s="20" t="n">
        <x:v>137</x:v>
      </x:c>
      <x:c r="B139" s="20" t="str">
        <x:v>GYMSHARK</x:v>
      </x:c>
      <x:c r="C139" s="20" t="str">
        <x:v>Minimal Sports Bra 2.0</x:v>
      </x:c>
      <x:c r="D139" s="20" t="str">
        <x:v>TOPS / SPORTS BRA</x:v>
      </x:c>
      <x:c r="E139" s="20" t="str">
        <x:v>Poise Pink</x:v>
      </x:c>
      <x:c r="F139" s="20" t="str">
        <x:v>M</x:v>
      </x:c>
      <x:c r="G139" s="22" t="n">
        <x:v>1</x:v>
      </x:c>
      <x:c r="H139" s="98" t="n">
        <x:v>24</x:v>
      </x:c>
      <x:c r="I139" s="98" t="n">
        <x:v>24</x:v>
      </x:c>
      <x:c r="J139" s="98" t="n">
        <x:v>24</x:v>
      </x:c>
      <x:c r="K139" s="20" t="str">
        <x:v>EN_TRANSITO</x:v>
      </x:c>
      <x:c r="L139" s="20" t="str">
        <x:v>PENDIENTE</x:v>
      </x:c>
      <x:c r="M139" s="20" t="str">
        <x:v>NO</x:v>
      </x:c>
      <x:c r="N139" s="22" t="n">
        <x:v>0</x:v>
      </x:c>
      <x:c r="O139" s="20" t="str">
        <x:v>IMG19</x:v>
      </x:c>
      <x:c r="P139" s="20"/>
      <x:c r="Q139" s="20" t="str">
        <x:v>Minimal Sports Bra 2.0 | Poise Pink | M</x:v>
      </x:c>
    </x:row>
    <x:row r="140">
      <x:c r="A140" s="20" t="n">
        <x:v>138</x:v>
      </x:c>
      <x:c r="B140" s="20" t="str">
        <x:v>GYMSHARK</x:v>
      </x:c>
      <x:c r="C140" s="20" t="str">
        <x:v>Everyday Seamless Shorts</x:v>
      </x:c>
      <x:c r="D140" s="20" t="str">
        <x:v>SHORTS</x:v>
      </x:c>
      <x:c r="E140" s="20" t="str">
        <x:v>Track Green</x:v>
      </x:c>
      <x:c r="F140" s="20" t="str">
        <x:v>S</x:v>
      </x:c>
      <x:c r="G140" s="22" t="n">
        <x:v>2</x:v>
      </x:c>
      <x:c r="H140" s="98" t="n">
        <x:v>56</x:v>
      </x:c>
      <x:c r="I140" s="98" t="n">
        <x:v>28</x:v>
      </x:c>
      <x:c r="J140" s="98" t="n">
        <x:v>56</x:v>
      </x:c>
      <x:c r="K140" s="20" t="str">
        <x:v>EN_TRANSITO</x:v>
      </x:c>
      <x:c r="L140" s="20" t="str">
        <x:v>PENDIENTE</x:v>
      </x:c>
      <x:c r="M140" s="20" t="str">
        <x:v>NO</x:v>
      </x:c>
      <x:c r="N140" s="22" t="n">
        <x:v>0</x:v>
      </x:c>
      <x:c r="O140" s="20" t="str">
        <x:v>IMG24</x:v>
      </x:c>
      <x:c r="P140" s="20" t="str">
        <x:v>Precio mostrado con Qty 2; unitario estimado = precio/qty.</x:v>
      </x:c>
      <x:c r="Q140" s="20" t="str">
        <x:v>Everyday Seamless Shorts | Track Green | S</x:v>
      </x:c>
    </x:row>
    <x:row r="141">
      <x:c r="A141" s="20" t="n">
        <x:v>139</x:v>
      </x:c>
      <x:c r="B141" s="20" t="str">
        <x:v>GYMSHARK</x:v>
      </x:c>
      <x:c r="C141" s="20" t="str">
        <x:v>Everyday Seamless Shorts</x:v>
      </x:c>
      <x:c r="D141" s="20" t="str">
        <x:v>SHORTS</x:v>
      </x:c>
      <x:c r="E141" s="20" t="str">
        <x:v>Track Green</x:v>
      </x:c>
      <x:c r="F141" s="20" t="str">
        <x:v>XS</x:v>
      </x:c>
      <x:c r="G141" s="22" t="n">
        <x:v>1</x:v>
      </x:c>
      <x:c r="H141" s="98" t="n">
        <x:v>28</x:v>
      </x:c>
      <x:c r="I141" s="98" t="n">
        <x:v>28</x:v>
      </x:c>
      <x:c r="J141" s="98" t="n">
        <x:v>28</x:v>
      </x:c>
      <x:c r="K141" s="20" t="str">
        <x:v>EN_TRANSITO</x:v>
      </x:c>
      <x:c r="L141" s="20" t="str">
        <x:v>PENDIENTE</x:v>
      </x:c>
      <x:c r="M141" s="20" t="str">
        <x:v>NO</x:v>
      </x:c>
      <x:c r="N141" s="22" t="n">
        <x:v>0</x:v>
      </x:c>
      <x:c r="O141" s="20" t="str">
        <x:v>IMG24</x:v>
      </x:c>
      <x:c r="P141" s="20"/>
      <x:c r="Q141" s="20" t="str">
        <x:v>Everyday Seamless Shorts | Track Green | XS</x:v>
      </x:c>
    </x:row>
    <x:row r="142">
      <x:c r="A142" s="20" t="n">
        <x:v>140</x:v>
      </x:c>
      <x:c r="B142" s="20" t="str">
        <x:v>GYMSHARK</x:v>
      </x:c>
      <x:c r="C142" s="20" t="str">
        <x:v>Everyday Seamless Shorts</x:v>
      </x:c>
      <x:c r="D142" s="20" t="str">
        <x:v>SHORTS</x:v>
      </x:c>
      <x:c r="E142" s="20" t="str">
        <x:v>Poise Pink</x:v>
      </x:c>
      <x:c r="F142" s="20" t="str">
        <x:v>S</x:v>
      </x:c>
      <x:c r="G142" s="22" t="n">
        <x:v>2</x:v>
      </x:c>
      <x:c r="H142" s="98" t="n">
        <x:v>56</x:v>
      </x:c>
      <x:c r="I142" s="98" t="n">
        <x:v>28</x:v>
      </x:c>
      <x:c r="J142" s="98" t="n">
        <x:v>56</x:v>
      </x:c>
      <x:c r="K142" s="20" t="str">
        <x:v>EN_TRANSITO</x:v>
      </x:c>
      <x:c r="L142" s="20" t="str">
        <x:v>PENDIENTE</x:v>
      </x:c>
      <x:c r="M142" s="20" t="str">
        <x:v>NO</x:v>
      </x:c>
      <x:c r="N142" s="22" t="n">
        <x:v>0</x:v>
      </x:c>
      <x:c r="O142" s="20" t="str">
        <x:v>IMG24</x:v>
      </x:c>
      <x:c r="P142" s="20" t="str">
        <x:v>Precio mostrado con Qty 2; unitario estimado = precio/qty.</x:v>
      </x:c>
      <x:c r="Q142" s="20" t="str">
        <x:v>Everyday Seamless Shorts | Poise Pink | S</x:v>
      </x:c>
    </x:row>
    <x:row r="143">
      <x:c r="A143" s="20" t="n">
        <x:v>141</x:v>
      </x:c>
      <x:c r="B143" s="20" t="str">
        <x:v>GYMSHARK</x:v>
      </x:c>
      <x:c r="C143" s="20" t="str">
        <x:v>Everyday Seamless Shorts</x:v>
      </x:c>
      <x:c r="D143" s="20" t="str">
        <x:v>SHORTS</x:v>
      </x:c>
      <x:c r="E143" s="20" t="str">
        <x:v>Poise Pink</x:v>
      </x:c>
      <x:c r="F143" s="20" t="str">
        <x:v>M</x:v>
      </x:c>
      <x:c r="G143" s="22" t="n">
        <x:v>2</x:v>
      </x:c>
      <x:c r="H143" s="98" t="n">
        <x:v>56</x:v>
      </x:c>
      <x:c r="I143" s="98" t="n">
        <x:v>28</x:v>
      </x:c>
      <x:c r="J143" s="98" t="n">
        <x:v>56</x:v>
      </x:c>
      <x:c r="K143" s="20" t="str">
        <x:v>EN_TRANSITO</x:v>
      </x:c>
      <x:c r="L143" s="20" t="str">
        <x:v>PENDIENTE</x:v>
      </x:c>
      <x:c r="M143" s="20" t="str">
        <x:v>NO</x:v>
      </x:c>
      <x:c r="N143" s="22" t="n">
        <x:v>0</x:v>
      </x:c>
      <x:c r="O143" s="20" t="str">
        <x:v>IMG24</x:v>
      </x:c>
      <x:c r="P143" s="20" t="str">
        <x:v>Precio mostrado con Qty 2; unitario estimado = precio/qty.</x:v>
      </x:c>
      <x:c r="Q143" s="20" t="str">
        <x:v>Everyday Seamless Shorts | Poise Pink | M</x:v>
      </x:c>
    </x:row>
    <x:row r="144">
      <x:c r="A144" s="20" t="n">
        <x:v>142</x:v>
      </x:c>
      <x:c r="B144" s="20" t="str">
        <x:v>GYMSHARK</x:v>
      </x:c>
      <x:c r="C144" s="20" t="str">
        <x:v>Training Shelf Cami Tank</x:v>
      </x:c>
      <x:c r="D144" s="20" t="str">
        <x:v>TOPS / TANK</x:v>
      </x:c>
      <x:c r="E144" s="20" t="str">
        <x:v>Track Green</x:v>
      </x:c>
      <x:c r="F144" s="20" t="str">
        <x:v>S</x:v>
      </x:c>
      <x:c r="G144" s="22" t="n">
        <x:v>1</x:v>
      </x:c>
      <x:c r="H144" s="98" t="n">
        <x:v>22.4</x:v>
      </x:c>
      <x:c r="I144" s="98" t="n">
        <x:v>22.4</x:v>
      </x:c>
      <x:c r="J144" s="98" t="n">
        <x:v>22.4</x:v>
      </x:c>
      <x:c r="K144" s="20" t="str">
        <x:v>EN_TRANSITO</x:v>
      </x:c>
      <x:c r="L144" s="20" t="str">
        <x:v>PENDIENTE</x:v>
      </x:c>
      <x:c r="M144" s="20" t="str">
        <x:v>NO</x:v>
      </x:c>
      <x:c r="N144" s="22" t="n">
        <x:v>0</x:v>
      </x:c>
      <x:c r="O144" s="20" t="str">
        <x:v>IMG24</x:v>
      </x:c>
      <x:c r="P144" s="20"/>
      <x:c r="Q144" s="20" t="str">
        <x:v>Training Shelf Cami Tank | Track Green | S</x:v>
      </x:c>
    </x:row>
    <x:row r="145">
      <x:c r="A145" s="20" t="n">
        <x:v>143</x:v>
      </x:c>
      <x:c r="B145" s="20" t="str">
        <x:v>GYMSHARK</x:v>
      </x:c>
      <x:c r="C145" s="20" t="str">
        <x:v>Training Shelf Cami Tank</x:v>
      </x:c>
      <x:c r="D145" s="20" t="str">
        <x:v>TOPS / TANK</x:v>
      </x:c>
      <x:c r="E145" s="20" t="str">
        <x:v>Track Green</x:v>
      </x:c>
      <x:c r="F145" s="20" t="str">
        <x:v>XS</x:v>
      </x:c>
      <x:c r="G145" s="22" t="n">
        <x:v>1</x:v>
      </x:c>
      <x:c r="H145" s="98" t="n">
        <x:v>22.4</x:v>
      </x:c>
      <x:c r="I145" s="98" t="n">
        <x:v>22.4</x:v>
      </x:c>
      <x:c r="J145" s="98" t="n">
        <x:v>22.4</x:v>
      </x:c>
      <x:c r="K145" s="20" t="str">
        <x:v>EN_TRANSITO</x:v>
      </x:c>
      <x:c r="L145" s="20" t="str">
        <x:v>PENDIENTE</x:v>
      </x:c>
      <x:c r="M145" s="20" t="str">
        <x:v>NO</x:v>
      </x:c>
      <x:c r="N145" s="22" t="n">
        <x:v>0</x:v>
      </x:c>
      <x:c r="O145" s="20" t="str">
        <x:v>IMG24</x:v>
      </x:c>
      <x:c r="P145" s="20"/>
      <x:c r="Q145" s="20" t="str">
        <x:v>Training Shelf Cami Tank | Track Green | XS</x:v>
      </x:c>
    </x:row>
    <x:row r="146">
      <x:c r="A146" s="20" t="n">
        <x:v>144</x:v>
      </x:c>
      <x:c r="B146" s="20" t="str">
        <x:v>GYMSHARK</x:v>
      </x:c>
      <x:c r="C146" s="20" t="str">
        <x:v>Vital Seamless Midi Zip 2.0 Pullover</x:v>
      </x:c>
      <x:c r="D146" s="20" t="str">
        <x:v>SWEATSHIRTS / PULLOVER</x:v>
      </x:c>
      <x:c r="E146" s="20" t="str">
        <x:v>Rich Maroon/Marl</x:v>
      </x:c>
      <x:c r="F146" s="20" t="str">
        <x:v>S</x:v>
      </x:c>
      <x:c r="G146" s="22" t="n">
        <x:v>2</x:v>
      </x:c>
      <x:c r="H146" s="98" t="n">
        <x:v>44.8</x:v>
      </x:c>
      <x:c r="I146" s="98" t="n">
        <x:v>22.4</x:v>
      </x:c>
      <x:c r="J146" s="98" t="n">
        <x:v>44.8</x:v>
      </x:c>
      <x:c r="K146" s="20" t="str">
        <x:v>EN_TRANSITO</x:v>
      </x:c>
      <x:c r="L146" s="20" t="str">
        <x:v>PENDIENTE</x:v>
      </x:c>
      <x:c r="M146" s="20" t="str">
        <x:v>NO</x:v>
      </x:c>
      <x:c r="N146" s="22" t="n">
        <x:v>0</x:v>
      </x:c>
      <x:c r="O146" s="20" t="str">
        <x:v>IMG25</x:v>
      </x:c>
      <x:c r="P146" s="20" t="str">
        <x:v>Precio mostrado con Qty 2; unitario estimado = precio/qty.</x:v>
      </x:c>
      <x:c r="Q146" s="20" t="str">
        <x:v>Vital Seamless Midi Zip 2.0 Pullover | Rich Maroon/Marl | S</x:v>
      </x:c>
    </x:row>
    <x:row r="147">
      <x:c r="A147" s="20" t="n">
        <x:v>145</x:v>
      </x:c>
      <x:c r="B147" s="20" t="str">
        <x:v>GYMSHARK</x:v>
      </x:c>
      <x:c r="C147" s="20" t="str">
        <x:v>Vital Seamless Midi Zip 2.0 Pullover</x:v>
      </x:c>
      <x:c r="D147" s="20" t="str">
        <x:v>SWEATSHIRTS / PULLOVER</x:v>
      </x:c>
      <x:c r="E147" s="20" t="str">
        <x:v>Rich Maroon/Marl</x:v>
      </x:c>
      <x:c r="F147" s="20" t="str">
        <x:v>M</x:v>
      </x:c>
      <x:c r="G147" s="22" t="n">
        <x:v>2</x:v>
      </x:c>
      <x:c r="H147" s="98" t="n">
        <x:v>44.8</x:v>
      </x:c>
      <x:c r="I147" s="98" t="n">
        <x:v>22.4</x:v>
      </x:c>
      <x:c r="J147" s="98" t="n">
        <x:v>44.8</x:v>
      </x:c>
      <x:c r="K147" s="20" t="str">
        <x:v>EN_TRANSITO</x:v>
      </x:c>
      <x:c r="L147" s="20" t="str">
        <x:v>PENDIENTE</x:v>
      </x:c>
      <x:c r="M147" s="20" t="str">
        <x:v>NO</x:v>
      </x:c>
      <x:c r="N147" s="22" t="n">
        <x:v>0</x:v>
      </x:c>
      <x:c r="O147" s="20" t="str">
        <x:v>IMG25</x:v>
      </x:c>
      <x:c r="P147" s="20" t="str">
        <x:v>Precio mostrado con Qty 2; unitario estimado = precio/qty.</x:v>
      </x:c>
      <x:c r="Q147" s="20" t="str">
        <x:v>Vital Seamless Midi Zip 2.0 Pullover | Rich Maroon/Marl | M</x:v>
      </x:c>
    </x:row>
    <x:row r="148">
      <x:c r="A148" s="20" t="n">
        <x:v>146</x:v>
      </x:c>
      <x:c r="B148" s="20" t="str">
        <x:v>GYMSHARK</x:v>
      </x:c>
      <x:c r="C148" s="20" t="str">
        <x:v>Vital Crop Top</x:v>
      </x:c>
      <x:c r="D148" s="20" t="str">
        <x:v>TOPS / CROP</x:v>
      </x:c>
      <x:c r="E148" s="20" t="str">
        <x:v>Black Marl</x:v>
      </x:c>
      <x:c r="F148" s="20" t="str">
        <x:v>S</x:v>
      </x:c>
      <x:c r="G148" s="22" t="n">
        <x:v>2</x:v>
      </x:c>
      <x:c r="H148" s="98" t="n">
        <x:v>22.8</x:v>
      </x:c>
      <x:c r="I148" s="98" t="n">
        <x:v>11.4</x:v>
      </x:c>
      <x:c r="J148" s="98" t="n">
        <x:v>22.8</x:v>
      </x:c>
      <x:c r="K148" s="20" t="str">
        <x:v>EN_TRANSITO</x:v>
      </x:c>
      <x:c r="L148" s="20" t="str">
        <x:v>PENDIENTE</x:v>
      </x:c>
      <x:c r="M148" s="20" t="str">
        <x:v>NO</x:v>
      </x:c>
      <x:c r="N148" s="22" t="n">
        <x:v>0</x:v>
      </x:c>
      <x:c r="O148" s="20" t="str">
        <x:v>IMG25</x:v>
      </x:c>
      <x:c r="P148" s="20" t="str">
        <x:v>Precio mostrado con Qty 2; unitario estimado = precio/qty.</x:v>
      </x:c>
      <x:c r="Q148" s="20" t="str">
        <x:v>Vital Crop Top | Black Marl | S</x:v>
      </x:c>
    </x:row>
    <x:row r="149">
      <x:c r="A149" s="20" t="n">
        <x:v>147</x:v>
      </x:c>
      <x:c r="B149" s="20" t="str">
        <x:v>GYMSHARK</x:v>
      </x:c>
      <x:c r="C149" s="20" t="str">
        <x:v>Ruched Sports Bra</x:v>
      </x:c>
      <x:c r="D149" s="20" t="str">
        <x:v>TOPS / SPORTS BRA</x:v>
      </x:c>
      <x:c r="E149" s="20" t="str">
        <x:v>White</x:v>
      </x:c>
      <x:c r="F149" s="20" t="str">
        <x:v>S</x:v>
      </x:c>
      <x:c r="G149" s="22" t="n">
        <x:v>2</x:v>
      </x:c>
      <x:c r="H149" s="98" t="n">
        <x:v>24</x:v>
      </x:c>
      <x:c r="I149" s="98" t="n">
        <x:v>12</x:v>
      </x:c>
      <x:c r="J149" s="98" t="n">
        <x:v>24</x:v>
      </x:c>
      <x:c r="K149" s="20" t="str">
        <x:v>EN_TRANSITO</x:v>
      </x:c>
      <x:c r="L149" s="20" t="str">
        <x:v>PENDIENTE</x:v>
      </x:c>
      <x:c r="M149" s="20" t="str">
        <x:v>NO</x:v>
      </x:c>
      <x:c r="N149" s="22" t="n">
        <x:v>0</x:v>
      </x:c>
      <x:c r="O149" s="20" t="str">
        <x:v>IMG25</x:v>
      </x:c>
      <x:c r="P149" s="20" t="str">
        <x:v>Precio mostrado con Qty 2; unitario estimado = precio/qty.</x:v>
      </x:c>
      <x:c r="Q149" s="20" t="str">
        <x:v>Ruched Sports Bra | White | S</x:v>
      </x:c>
    </x:row>
    <x:row r="150">
      <x:c r="A150" s="20" t="n">
        <x:v>148</x:v>
      </x:c>
      <x:c r="B150" s="20" t="str">
        <x:v>GYMSHARK</x:v>
      </x:c>
      <x:c r="C150" s="20" t="str">
        <x:v>Ruched Sports Bra</x:v>
      </x:c>
      <x:c r="D150" s="20" t="str">
        <x:v>TOPS / SPORTS BRA</x:v>
      </x:c>
      <x:c r="E150" s="20" t="str">
        <x:v>Black</x:v>
      </x:c>
      <x:c r="F150" s="20" t="str">
        <x:v>S</x:v>
      </x:c>
      <x:c r="G150" s="22" t="n">
        <x:v>2</x:v>
      </x:c>
      <x:c r="H150" s="98" t="n">
        <x:v>24</x:v>
      </x:c>
      <x:c r="I150" s="98" t="n">
        <x:v>12</x:v>
      </x:c>
      <x:c r="J150" s="98" t="n">
        <x:v>24</x:v>
      </x:c>
      <x:c r="K150" s="20" t="str">
        <x:v>EN_TRANSITO</x:v>
      </x:c>
      <x:c r="L150" s="20" t="str">
        <x:v>PENDIENTE</x:v>
      </x:c>
      <x:c r="M150" s="20" t="str">
        <x:v>NO</x:v>
      </x:c>
      <x:c r="N150" s="22" t="n">
        <x:v>0</x:v>
      </x:c>
      <x:c r="O150" s="20" t="str">
        <x:v>IMG25</x:v>
      </x:c>
      <x:c r="P150" s="20" t="str">
        <x:v>Precio mostrado con Qty 2; unitario estimado = precio/qty.</x:v>
      </x:c>
      <x:c r="Q150" s="20" t="str">
        <x:v>Ruched Sports Bra | Black | S</x:v>
      </x:c>
    </x:row>
    <x:row r="151">
      <x:c r="A151" s="20" t="n">
        <x:v>149</x:v>
      </x:c>
      <x:c r="B151" s="20" t="str">
        <x:v>GYMSHARK</x:v>
      </x:c>
      <x:c r="C151" s="20" t="str">
        <x:v>Medium Support Running Sports Bra</x:v>
      </x:c>
      <x:c r="D151" s="20" t="str">
        <x:v>TOPS / SPORTS BRA</x:v>
      </x:c>
      <x:c r="E151" s="20" t="str">
        <x:v>Iron Blue</x:v>
      </x:c>
      <x:c r="F151" s="20" t="str">
        <x:v>S</x:v>
      </x:c>
      <x:c r="G151" s="22" t="n">
        <x:v>2</x:v>
      </x:c>
      <x:c r="H151" s="98" t="n">
        <x:v>52.8</x:v>
      </x:c>
      <x:c r="I151" s="98" t="n">
        <x:v>26.4</x:v>
      </x:c>
      <x:c r="J151" s="98" t="n">
        <x:v>52.8</x:v>
      </x:c>
      <x:c r="K151" s="20" t="str">
        <x:v>EN_TRANSITO</x:v>
      </x:c>
      <x:c r="L151" s="20" t="str">
        <x:v>PENDIENTE</x:v>
      </x:c>
      <x:c r="M151" s="20" t="str">
        <x:v>NO</x:v>
      </x:c>
      <x:c r="N151" s="22" t="n">
        <x:v>0</x:v>
      </x:c>
      <x:c r="O151" s="20" t="str">
        <x:v>IMG25</x:v>
      </x:c>
      <x:c r="P151" s="20" t="str">
        <x:v>Precio mostrado con Qty 2; unitario estimado = precio/qty.</x:v>
      </x:c>
      <x:c r="Q151" s="20" t="str">
        <x:v>Medium Support Running Sports Bra | Iron Blue | S</x:v>
      </x:c>
    </x:row>
    <x:row r="152">
      <x:c r="A152" s="20" t="n">
        <x:v>150</x:v>
      </x:c>
      <x:c r="B152" s="20" t="str">
        <x:v>GYMSHARK</x:v>
      </x:c>
      <x:c r="C152" s="20" t="str">
        <x:v>Medium Support Running Sports Bra</x:v>
      </x:c>
      <x:c r="D152" s="20" t="str">
        <x:v>TOPS / SPORTS BRA</x:v>
      </x:c>
      <x:c r="E152" s="20" t="str">
        <x:v>Iron Blue</x:v>
      </x:c>
      <x:c r="F152" s="20" t="str">
        <x:v>M</x:v>
      </x:c>
      <x:c r="G152" s="22" t="n">
        <x:v>2</x:v>
      </x:c>
      <x:c r="H152" s="98" t="n">
        <x:v>52.8</x:v>
      </x:c>
      <x:c r="I152" s="98" t="n">
        <x:v>26.4</x:v>
      </x:c>
      <x:c r="J152" s="98" t="n">
        <x:v>52.8</x:v>
      </x:c>
      <x:c r="K152" s="20" t="str">
        <x:v>EN_TRANSITO</x:v>
      </x:c>
      <x:c r="L152" s="20" t="str">
        <x:v>PENDIENTE</x:v>
      </x:c>
      <x:c r="M152" s="20" t="str">
        <x:v>NO</x:v>
      </x:c>
      <x:c r="N152" s="22" t="n">
        <x:v>0</x:v>
      </x:c>
      <x:c r="O152" s="20" t="str">
        <x:v>IMG25</x:v>
      </x:c>
      <x:c r="P152" s="20" t="str">
        <x:v>Precio mostrado con Qty 2; unitario estimado = precio/qty.</x:v>
      </x:c>
      <x:c r="Q152" s="20" t="str">
        <x:v>Medium Support Running Sports Bra | Iron Blue | M</x:v>
      </x:c>
    </x:row>
  </x:sheetData>
  <x:mergeCells>
    <x:mergeCell ref="A1:Q1"/>
  </x:mergeCells>
  <x:conditionalFormatting sqref="N3:N41">
    <x:cfRule type="cellIs" dxfId="0" priority="1" operator="greaterThan">
      <x:formula>0</x:formula>
    </x:cfRule>
  </x:conditionalFormatting>
  <x:dataValidations count="3">
    <x:dataValidation type="list" sqref="K3:K41">
      <x:formula1>Catalogos!$A$2:$A$4</x:formula1>
    </x:dataValidation>
    <x:dataValidation type="list" sqref="L3:L41">
      <x:formula1>Catalogos!$B$2:$B$6</x:formula1>
    </x:dataValidation>
    <x:dataValidation type="list" sqref="M3:M41">
      <x:formula1>Catalogos!$C$2:$C$3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290c821b9f4d9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5.87999725341797" hidden="0" customWidth="1"/>
    <x:col min="2" max="2" width="9.130000114440918" hidden="0" customWidth="1"/>
    <x:col min="3" max="3" width="5.25" hidden="0" customWidth="1"/>
    <x:col min="4" max="4" width="16" hidden="0" customWidth="1"/>
    <x:col min="5" max="5" width="36" hidden="0" customWidth="1"/>
    <x:col min="6" max="6" width="25.25" hidden="0" customWidth="1"/>
    <x:col min="7" max="7" width="21.1299991607666" hidden="0" customWidth="1"/>
    <x:col min="8" max="8" width="11.25" hidden="0" customWidth="1"/>
  </x:cols>
  <x:sheetData>
    <x:row r="1" ht="24" customHeight="1">
      <x:c r="A1" s="86" t="str">
        <x:v>Compra Gymshark - consolidado desde imágenes</x:v>
      </x:c>
      <x:c r="B1" s="74"/>
      <x:c r="C1" s="74"/>
      <x:c r="D1" s="74"/>
      <x:c r="E1" s="74"/>
      <x:c r="F1" s="74"/>
      <x:c r="G1" s="74"/>
      <x:c r="H1" s="74"/>
    </x:row>
    <x:row r="2">
      <x:c r="A2"/>
      <x:c r="B2"/>
      <x:c r="C2"/>
      <x:c r="D2"/>
      <x:c r="E2"/>
      <x:c r="F2"/>
      <x:c r="G2"/>
      <x:c r="H2"/>
    </x:row>
    <x:row r="3">
      <x:c r="A3" s="61" t="str">
        <x:v>Línea</x:v>
      </x:c>
      <x:c r="B3" s="50" t="str">
        <x:v>GYMSHARK</x:v>
      </x:c>
      <x:c r="C3" s="20"/>
      <x:c r="D3" s="61" t="str">
        <x:v>Estado compra</x:v>
      </x:c>
      <x:c r="E3" s="20" t="str">
        <x:v>EN_TRANSITO</x:v>
      </x:c>
      <x:c r="F3" s="20"/>
      <x:c r="G3" s="62" t="str">
        <x:v>Tandas procesadas</x:v>
      </x:c>
      <x:c r="H3" s="50" t="str">
        <x:v>IMG01-IMG25</x:v>
      </x:c>
    </x:row>
    <x:row r="4">
      <x:c r="A4" s="61" t="str">
        <x:v>Variantes consolidadas</x:v>
      </x:c>
      <x:c r="B4" s="50" t="n">
        <x:v>150</x:v>
      </x:c>
      <x:c r="C4" s="20"/>
      <x:c r="D4" s="61" t="str">
        <x:v>Estado recepción</x:v>
      </x:c>
      <x:c r="E4" s="20" t="str">
        <x:v>PENDIENTE</x:v>
      </x:c>
      <x:c r="F4" s="20"/>
      <x:c r="G4" s="62" t="str">
        <x:v>Duplicados no agregados</x:v>
      </x:c>
      <x:c r="H4" s="50" t="n">
        <x:v>5</x:v>
      </x:c>
    </x:row>
    <x:row r="5">
      <x:c r="A5" s="61" t="str">
        <x:v>Piezas totales</x:v>
      </x:c>
      <x:c r="B5" s="50" t="n">
        <x:v>229</x:v>
      </x:c>
      <x:c r="C5" s="20"/>
      <x:c r="D5" s="61" t="str">
        <x:v>Publicar ecommerce</x:v>
      </x:c>
      <x:c r="E5" s="20" t="str">
        <x:v>NO</x:v>
      </x:c>
      <x:c r="F5" s="20"/>
      <x:c r="G5" s="62" t="str">
        <x:v>Stock vendible inicial</x:v>
      </x:c>
      <x:c r="H5" s="50" t="n">
        <x:v>0</x:v>
      </x:c>
    </x:row>
    <x:row r="6">
      <x:c r="A6" s="61" t="str">
        <x:v>Costo visible total USD</x:v>
      </x:c>
      <x:c r="B6" s="50" t="n">
        <x:v>4238.9</x:v>
      </x:c>
      <x:c r="C6" s="20"/>
      <x:c r="D6" s="61" t="str">
        <x:v>Observación</x:v>
      </x:c>
      <x:c r="E6" s="22" t="str">
        <x:v>Precio mostrado tratado como subtotal de línea</x:v>
      </x:c>
      <x:c r="F6" s="20"/>
      <x:c r="G6" s="62" t="str">
        <x:v>Nuevas piezas agregadas</x:v>
      </x:c>
      <x:c r="H6" s="50" t="n">
        <x:v>57</x:v>
      </x:c>
    </x:row>
    <x:row r="7">
      <x:c r="A7" s="61"/>
      <x:c r="B7" s="50"/>
      <x:c r="C7" s="20"/>
      <x:c r="D7" s="61"/>
      <x:c r="E7" s="20"/>
      <x:c r="F7" s="20"/>
      <x:c r="G7" s="62" t="str">
        <x:v>Nuevo costo agregado USD</x:v>
      </x:c>
      <x:c r="H7" s="50" t="n">
        <x:v>1117.8</x:v>
      </x:c>
    </x:row>
    <x:row r="8">
      <x:c r="A8" s="20"/>
      <x:c r="B8" s="50"/>
      <x:c r="C8" s="20"/>
      <x:c r="D8" s="20"/>
      <x:c r="E8" s="20"/>
      <x:c r="F8" s="20"/>
      <x:c r="G8" s="20" t="str">
        <x:v>Nuevas variantes agregadas</x:v>
      </x:c>
      <x:c r="H8" s="50" t="n">
        <x:v>36</x:v>
      </x:c>
    </x:row>
    <x:row r="9">
      <x:c r="A9"/>
      <x:c r="B9"/>
      <x:c r="C9"/>
      <x:c r="D9"/>
      <x:c r="E9"/>
      <x:c r="F9"/>
      <x:c r="G9"/>
      <x:c r="H9"/>
    </x:row>
    <x:row r="10">
      <x:c r="A10" s="87" t="str">
        <x:v>Categoría</x:v>
      </x:c>
      <x:c r="B10" s="87" t="str">
        <x:v>Variantes</x:v>
      </x:c>
      <x:c r="C10" s="87" t="str">
        <x:v>Piezas</x:v>
      </x:c>
      <x:c r="D10" s="87" t="str">
        <x:v>Costo visible USD</x:v>
      </x:c>
      <x:c r="E10"/>
      <x:c r="F10"/>
      <x:c r="G10"/>
      <x:c r="H10"/>
    </x:row>
    <x:row r="11">
      <x:c r="A11" s="20" t="str">
        <x:v>ACCESORIOS / BELT</x:v>
      </x:c>
      <x:c r="B11" s="50" t="n">
        <x:v>1</x:v>
      </x:c>
      <x:c r="C11" s="50" t="n">
        <x:v>2</x:v>
      </x:c>
      <x:c r="D11" s="50" t="n">
        <x:v>44</x:v>
      </x:c>
      <x:c r="E11"/>
      <x:c r="F11"/>
      <x:c r="G11"/>
      <x:c r="H11"/>
    </x:row>
    <x:row r="12">
      <x:c r="A12" s="20" t="str">
        <x:v>ACCESORIOS / BOLSOS</x:v>
      </x:c>
      <x:c r="B12" s="50" t="n">
        <x:v>1</x:v>
      </x:c>
      <x:c r="C12" s="50" t="n">
        <x:v>4</x:v>
      </x:c>
      <x:c r="D12" s="50" t="n">
        <x:v>105.6</x:v>
      </x:c>
      <x:c r="E12"/>
      <x:c r="F12"/>
      <x:c r="G12"/>
      <x:c r="H12"/>
    </x:row>
    <x:row r="13">
      <x:c r="A13" s="20" t="str">
        <x:v>ACCESORIOS / BOTELLAS</x:v>
      </x:c>
      <x:c r="B13" s="50" t="n">
        <x:v>1</x:v>
      </x:c>
      <x:c r="C13" s="50" t="n">
        <x:v>3</x:v>
      </x:c>
      <x:c r="D13" s="50" t="n">
        <x:v>16.8</x:v>
      </x:c>
      <x:c r="E13"/>
      <x:c r="F13"/>
      <x:c r="G13"/>
      <x:c r="H13"/>
    </x:row>
    <x:row r="14">
      <x:c r="A14" s="20" t="str">
        <x:v>ACCESORIOS / HEADBANDS</x:v>
      </x:c>
      <x:c r="B14" s="50" t="n">
        <x:v>3</x:v>
      </x:c>
      <x:c r="C14" s="50" t="n">
        <x:v>6</x:v>
      </x:c>
      <x:c r="D14" s="50" t="n">
        <x:v>64</x:v>
      </x:c>
      <x:c r="E14"/>
      <x:c r="F14"/>
      <x:c r="G14"/>
      <x:c r="H14"/>
    </x:row>
    <x:row r="15">
      <x:c r="A15" s="20" t="str">
        <x:v>ACCESORIOS / MEDIAS</x:v>
      </x:c>
      <x:c r="B15" s="50" t="n">
        <x:v>9</x:v>
      </x:c>
      <x:c r="C15" s="50" t="n">
        <x:v>16</x:v>
      </x:c>
      <x:c r="D15" s="50" t="n">
        <x:v>138.4</x:v>
      </x:c>
      <x:c r="E15"/>
      <x:c r="F15"/>
      <x:c r="G15"/>
      <x:c r="H15"/>
    </x:row>
    <x:row r="16">
      <x:c r="A16" s="20" t="str">
        <x:v>ACCESORIOS / STRAPS</x:v>
      </x:c>
      <x:c r="B16" s="50" t="n">
        <x:v>2</x:v>
      </x:c>
      <x:c r="C16" s="50" t="n">
        <x:v>4</x:v>
      </x:c>
      <x:c r="D16" s="50" t="n">
        <x:v>46.4</x:v>
      </x:c>
      <x:c r="E16"/>
      <x:c r="F16"/>
      <x:c r="G16"/>
      <x:c r="H16"/>
    </x:row>
    <x:row r="17">
      <x:c r="A17" s="20" t="str">
        <x:v>ACCESORIOS / VISERAS</x:v>
      </x:c>
      <x:c r="B17" s="50" t="n">
        <x:v>1</x:v>
      </x:c>
      <x:c r="C17" s="50" t="n">
        <x:v>2</x:v>
      </x:c>
      <x:c r="D17" s="50" t="n">
        <x:v>30</x:v>
      </x:c>
      <x:c r="E17"/>
      <x:c r="F17"/>
      <x:c r="G17"/>
      <x:c r="H17"/>
    </x:row>
    <x:row r="18">
      <x:c r="A18" s="20" t="str">
        <x:v>ENTERIZOS / ALL-IN-ONE</x:v>
      </x:c>
      <x:c r="B18" s="50" t="n">
        <x:v>3</x:v>
      </x:c>
      <x:c r="C18" s="50" t="n">
        <x:v>3</x:v>
      </x:c>
      <x:c r="D18" s="50" t="n">
        <x:v>57.6</x:v>
      </x:c>
      <x:c r="E18"/>
      <x:c r="F18"/>
      <x:c r="G18"/>
      <x:c r="H18"/>
    </x:row>
    <x:row r="19">
      <x:c r="A19" s="20" t="str">
        <x:v>HOODIES</x:v>
      </x:c>
      <x:c r="B19" s="50" t="n">
        <x:v>1</x:v>
      </x:c>
      <x:c r="C19" s="50" t="n">
        <x:v>1</x:v>
      </x:c>
      <x:c r="D19" s="50" t="n">
        <x:v>21</x:v>
      </x:c>
      <x:c r="E19"/>
      <x:c r="F19"/>
      <x:c r="G19"/>
      <x:c r="H19"/>
    </x:row>
    <x:row r="20">
      <x:c r="A20" s="20" t="str">
        <x:v>JOGGERS / PANTS</x:v>
      </x:c>
      <x:c r="B20" s="50" t="n">
        <x:v>7</x:v>
      </x:c>
      <x:c r="C20" s="50" t="n">
        <x:v>13</x:v>
      </x:c>
      <x:c r="D20" s="50" t="n">
        <x:v>333.2</x:v>
      </x:c>
      <x:c r="E20"/>
      <x:c r="F20"/>
      <x:c r="G20"/>
      <x:c r="H20"/>
    </x:row>
    <x:row r="21">
      <x:c r="A21" s="20" t="str">
        <x:v>LEGGINGS</x:v>
      </x:c>
      <x:c r="B21" s="50" t="n">
        <x:v>20</x:v>
      </x:c>
      <x:c r="C21" s="50" t="n">
        <x:v>27</x:v>
      </x:c>
      <x:c r="D21" s="50" t="n">
        <x:v>568.8</x:v>
      </x:c>
      <x:c r="E21"/>
      <x:c r="F21"/>
      <x:c r="G21"/>
      <x:c r="H21"/>
    </x:row>
    <x:row r="22">
      <x:c r="A22" s="48" t="str">
        <x:v>PANTS</x:v>
      </x:c>
      <x:c r="B22" s="50" t="n">
        <x:v>8</x:v>
      </x:c>
      <x:c r="C22" s="50" t="n">
        <x:v>13</x:v>
      </x:c>
      <x:c r="D22" s="50" t="n">
        <x:v>304</x:v>
      </x:c>
      <x:c r="E22"/>
      <x:c r="F22"/>
      <x:c r="G22"/>
      <x:c r="H22"/>
    </x:row>
    <x:row r="23">
      <x:c r="A23" s="20" t="str">
        <x:v>SHORTS</x:v>
      </x:c>
      <x:c r="B23" s="50" t="n">
        <x:v>41</x:v>
      </x:c>
      <x:c r="C23" s="50" t="n">
        <x:v>64</x:v>
      </x:c>
      <x:c r="D23" s="50" t="n">
        <x:v>1213.1</x:v>
      </x:c>
      <x:c r="E23"/>
      <x:c r="F23"/>
      <x:c r="G23"/>
      <x:c r="H23"/>
    </x:row>
    <x:row r="24">
      <x:c r="A24" s="20" t="str">
        <x:v>SWEATSHIRTS / CREW</x:v>
      </x:c>
      <x:c r="B24" s="50" t="n">
        <x:v>3</x:v>
      </x:c>
      <x:c r="C24" s="50" t="n">
        <x:v>3</x:v>
      </x:c>
      <x:c r="D24" s="50" t="n">
        <x:v>50.4</x:v>
      </x:c>
      <x:c r="E24"/>
      <x:c r="F24"/>
      <x:c r="G24"/>
      <x:c r="H24"/>
    </x:row>
    <x:row r="25">
      <x:c r="A25" s="79" t="str">
        <x:v>SWEATSHIRTS / PULLOVER</x:v>
      </x:c>
      <x:c r="B25" s="50" t="n">
        <x:v>2</x:v>
      </x:c>
      <x:c r="C25" s="50" t="n">
        <x:v>4</x:v>
      </x:c>
      <x:c r="D25" s="50" t="n">
        <x:v>89.6</x:v>
      </x:c>
      <x:c r="E25"/>
      <x:c r="F25"/>
      <x:c r="G25"/>
      <x:c r="H25"/>
    </x:row>
    <x:row r="26">
      <x:c r="A26" s="55" t="str">
        <x:v>T-SHIRTS</x:v>
      </x:c>
      <x:c r="B26" s="88" t="n">
        <x:v>5</x:v>
      </x:c>
      <x:c r="C26" s="88" t="n">
        <x:v>7</x:v>
      </x:c>
      <x:c r="D26" s="88" t="n">
        <x:v>119</x:v>
      </x:c>
      <x:c r="E26" s="55"/>
      <x:c r="F26" s="55"/>
      <x:c r="G26"/>
      <x:c r="H26"/>
    </x:row>
    <x:row r="27">
      <x:c r="A27" s="20" t="str">
        <x:v>TOPS / CROP</x:v>
      </x:c>
      <x:c r="B27" s="50" t="n">
        <x:v>1</x:v>
      </x:c>
      <x:c r="C27" s="50" t="n">
        <x:v>2</x:v>
      </x:c>
      <x:c r="D27" s="50" t="n">
        <x:v>22.8</x:v>
      </x:c>
      <x:c r="E27" s="20"/>
      <x:c r="F27" s="20"/>
      <x:c r="G27"/>
      <x:c r="H27"/>
    </x:row>
    <x:row r="28">
      <x:c r="A28" s="20" t="str">
        <x:v>TOPS / SPORTS BRA</x:v>
      </x:c>
      <x:c r="B28" s="50" t="n">
        <x:v>22</x:v>
      </x:c>
      <x:c r="C28" s="50" t="n">
        <x:v>32</x:v>
      </x:c>
      <x:c r="D28" s="50" t="n">
        <x:v>580.2</x:v>
      </x:c>
      <x:c r="E28" s="20"/>
      <x:c r="F28" s="20"/>
      <x:c r="G28"/>
      <x:c r="H28"/>
    </x:row>
    <x:row r="29">
      <x:c r="A29" s="20" t="str">
        <x:v>TOPS / TANK</x:v>
      </x:c>
      <x:c r="B29" s="50" t="n">
        <x:v>19</x:v>
      </x:c>
      <x:c r="C29" s="50" t="n">
        <x:v>23</x:v>
      </x:c>
      <x:c r="D29" s="50" t="n">
        <x:v>434</x:v>
      </x:c>
      <x:c r="E29" s="20"/>
      <x:c r="F29" s="20"/>
      <x:c r="G29"/>
      <x:c r="H29"/>
    </x:row>
    <x:row r="30">
      <x:c r="A30" s="81"/>
      <x:c r="B30" s="81"/>
      <x:c r="C30" s="81"/>
      <x:c r="D30" s="81"/>
      <x:c r="E30" s="81"/>
      <x:c r="F30" s="81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 s="91" t="str">
        <x:v>Duplicados detectados y no agregados al consolidado</x:v>
      </x:c>
      <x:c r="B32"/>
      <x:c r="C32"/>
      <x:c r="D32"/>
      <x:c r="E32"/>
      <x:c r="F32"/>
      <x:c r="G32"/>
      <x:c r="H32"/>
    </x:row>
    <x:row r="33">
      <x:c r="A33" s="94" t="str">
        <x:v>Producto</x:v>
      </x:c>
      <x:c r="B33" s="94" t="str">
        <x:v>Color</x:v>
      </x:c>
      <x:c r="C33" s="94" t="str">
        <x:v>Talla</x:v>
      </x:c>
      <x:c r="D33" s="94" t="str">
        <x:v>Cantidad</x:v>
      </x:c>
      <x:c r="E33" s="94" t="str">
        <x:v>Imagen</x:v>
      </x:c>
      <x:c r="F33" s="94" t="str">
        <x:v>Motivo</x:v>
      </x:c>
      <x:c r="G33"/>
      <x:c r="H33"/>
    </x:row>
    <x:row r="34">
      <x:c r="A34" t="str">
        <x:v>Legacy Bra</x:v>
      </x:c>
      <x:c r="B34" t="str">
        <x:v>Classic Blue</x:v>
      </x:c>
      <x:c r="C34" t="str">
        <x:v>S</x:v>
      </x:c>
      <x:c r="D34" t="n">
        <x:v>1</x:v>
      </x:c>
      <x:c r="E34" t="str">
        <x:v>IMG07</x:v>
      </x:c>
      <x:c r="F34" t="str">
        <x:v>Ya existía en la tanda anterior</x:v>
      </x:c>
      <x:c r="G34"/>
      <x:c r="H34"/>
    </x:row>
    <x:row r="35">
      <x:c r="A35" t="str">
        <x:v>Contour Stitch Tank with Shelf</x:v>
      </x:c>
      <x:c r="B35" t="str">
        <x:v>Heavy Blue</x:v>
      </x:c>
      <x:c r="C35" t="str">
        <x:v>S</x:v>
      </x:c>
      <x:c r="D35" t="n">
        <x:v>1</x:v>
      </x:c>
      <x:c r="E35" t="str">
        <x:v>IMG09</x:v>
      </x:c>
      <x:c r="F35" t="str">
        <x:v>Ya existía en la tanda anterior</x:v>
      </x:c>
      <x:c r="G35"/>
      <x:c r="H35"/>
    </x:row>
    <x:row r="36">
      <x:c r="A36" s="83" t="str">
        <x:v>Contour Stitch Tank with Shelf</x:v>
      </x:c>
      <x:c r="B36" s="83" t="str">
        <x:v>Heavy Blue</x:v>
      </x:c>
      <x:c r="C36" s="83" t="str">
        <x:v>M</x:v>
      </x:c>
      <x:c r="D36" s="83" t="n">
        <x:v>1</x:v>
      </x:c>
      <x:c r="E36" s="83" t="str">
        <x:v>IMG09</x:v>
      </x:c>
      <x:c r="F36" s="83" t="str">
        <x:v>Ya existía en la tanda anterior</x:v>
      </x:c>
      <x:c r="G36" s="83"/>
      <x:c r="H36" s="83"/>
    </x:row>
    <x:row r="37">
      <x:c r="A37" t="str">
        <x:v>Minimal Sports Bra 2.0</x:v>
      </x:c>
      <x:c r="B37" t="str">
        <x:v>Poise Pink</x:v>
      </x:c>
      <x:c r="C37" t="str">
        <x:v>M</x:v>
      </x:c>
      <x:c r="D37" t="n">
        <x:v>1</x:v>
      </x:c>
      <x:c r="E37" t="str">
        <x:v>IMG23</x:v>
      </x:c>
      <x:c r="F37" t="str">
        <x:v>Ya estaba agregado desde IMG19</x:v>
      </x:c>
      <x:c r="G37"/>
      <x:c r="H37"/>
    </x:row>
    <x:row r="38">
      <x:c r="A38" t="str">
        <x:v>Minimal Sports Bra 2.0</x:v>
      </x:c>
      <x:c r="B38" t="str">
        <x:v>Poise Pink</x:v>
      </x:c>
      <x:c r="C38" t="str">
        <x:v>S</x:v>
      </x:c>
      <x:c r="D38" t="n">
        <x:v>1</x:v>
      </x:c>
      <x:c r="E38" t="str">
        <x:v>IMG24</x:v>
      </x:c>
      <x:c r="F38" t="str">
        <x:v>Ya estaba agregado desde IMG23</x:v>
      </x:c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 t="str">
        <x:v>Observaciones de esta tanda</x:v>
      </x:c>
      <x:c r="B40"/>
      <x:c r="C40"/>
      <x:c r="D40"/>
      <x:c r="E40"/>
      <x:c r="F40"/>
      <x:c r="G40"/>
      <x:c r="H40"/>
    </x:row>
    <x:row r="41">
      <x:c r="A41" s="96" t="str">
        <x:v>Se omitieron renglones cortados al final de capturas; solo se cargaron filas completas.</x:v>
      </x:c>
      <x:c r="B41"/>
      <x:c r="C41"/>
      <x:c r="D41"/>
      <x:c r="E41"/>
      <x:c r="F41"/>
      <x:c r="G41"/>
      <x:c r="H41"/>
    </x:row>
    <x:row r="42">
      <x:c r="A42" t="str">
        <x:v>Se mantuvo la compra como EN_TRANSITO, recepción PENDIENTE, publicación NO y stock vendible 0.</x:v>
      </x:c>
      <x:c r="B42"/>
      <x:c r="C42"/>
      <x:c r="D42"/>
      <x:c r="E42"/>
      <x:c r="F42"/>
      <x:c r="G42"/>
      <x:c r="H42"/>
    </x:row>
  </x:sheetData>
  <x:mergeCells>
    <x:mergeCell ref="A1:H1"/>
    <x:mergeCell ref="A22:H22"/>
    <x:mergeCell ref="A25:H25"/>
    <x:mergeCell ref="A32:F32"/>
    <x:mergeCell ref="A41:H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28" t="str">
        <x:v>Estados compra</x:v>
      </x:c>
      <x:c r="B1" s="28" t="str">
        <x:v>Estados recepción</x:v>
      </x:c>
      <x:c r="C1" s="28" t="str">
        <x:v>Publicar ecommerce</x:v>
      </x:c>
    </x:row>
    <x:row r="2">
      <x:c r="A2" t="str">
        <x:v>EN_TRANSITO</x:v>
      </x:c>
      <x:c r="B2" t="str">
        <x:v>PENDIENTE</x:v>
      </x:c>
      <x:c r="C2" t="str">
        <x:v>NO</x:v>
      </x:c>
    </x:row>
    <x:row r="3">
      <x:c r="A3" t="str">
        <x:v>RECIBIDA</x:v>
      </x:c>
      <x:c r="B3" t="str">
        <x:v>RECEPCION_PARCIAL</x:v>
      </x:c>
      <x:c r="C3" t="str">
        <x:v>SI</x:v>
      </x:c>
    </x:row>
    <x:row r="4">
      <x:c r="A4" t="str">
        <x:v>ANULADA</x:v>
      </x:c>
      <x:c r="B4" t="str">
        <x:v>RECIBIDA</x:v>
      </x:c>
    </x:row>
    <x:row r="5">
      <x:c r="B5" t="str">
        <x:v>CON_INCIDENCIAS</x:v>
      </x:c>
    </x:row>
    <x:row r="6">
      <x:c r="B6" t="str">
        <x:v>ANULADA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8799991607666" hidden="0" customWidth="1"/>
    <x:col min="2" max="2" width="9.130000114440918" hidden="0" customWidth="1"/>
    <x:col min="3" max="3" width="4" hidden="0" customWidth="1"/>
    <x:col min="4" max="4" width="7.380000114440918" hidden="0" customWidth="1"/>
    <x:col min="5" max="5" width="6.25" hidden="0" customWidth="1"/>
    <x:col min="6" max="6" width="25.25" hidden="0" customWidth="1"/>
    <x:col min="7" max="7" width="36.130001068115234" hidden="0" customWidth="1"/>
    <x:col min="8" max="8" width="16" hidden="0" customWidth="1"/>
    <x:col min="9" max="9" width="20" hidden="0" customWidth="1"/>
    <x:col min="10" max="10" width="18" hidden="0" customWidth="1"/>
    <x:col min="11" max="11" width="15" hidden="0" customWidth="1"/>
    <x:col min="12" max="12" width="16" hidden="0" customWidth="1"/>
    <x:col min="13" max="13" width="16" hidden="0" customWidth="1"/>
    <x:col min="14" max="14" width="18" hidden="0" customWidth="1"/>
    <x:col min="15" max="15" width="12" hidden="0" customWidth="1"/>
    <x:col min="16" max="16" width="38" hidden="0" customWidth="1"/>
    <x:col min="17" max="17" width="46" hidden="0" customWidth="1"/>
  </x:cols>
  <x:sheetData>
    <x:row r="1">
      <x:c r="A1" s="97" t="str">
        <x:v>Producto</x:v>
      </x:c>
      <x:c r="B1" s="97" t="str">
        <x:v>Color</x:v>
      </x:c>
      <x:c r="C1" s="97" t="str">
        <x:v>Talla</x:v>
      </x:c>
      <x:c r="D1" s="97" t="str">
        <x:v>Cantidad</x:v>
      </x:c>
      <x:c r="E1" s="97" t="str">
        <x:v>Imagen</x:v>
      </x:c>
      <x:c r="F1" s="97" t="str">
        <x:v>Motivo</x:v>
      </x:c>
      <x:c r="G1" s="97" t="str">
        <x:v>Clave variante</x:v>
      </x:c>
      <x:c r="H1" s="56"/>
      <x:c r="I1" s="56"/>
      <x:c r="J1" s="56"/>
      <x:c r="K1" s="56"/>
      <x:c r="L1" s="56"/>
      <x:c r="M1" s="56"/>
      <x:c r="N1" s="56"/>
      <x:c r="O1" s="56"/>
      <x:c r="P1" s="56"/>
      <x:c r="Q1" s="56"/>
    </x:row>
    <x:row r="2">
      <x:c r="A2" s="20" t="str">
        <x:v>Legacy Bra</x:v>
      </x:c>
      <x:c r="B2" s="20" t="str">
        <x:v>Classic Blue</x:v>
      </x:c>
      <x:c r="C2" s="20" t="str">
        <x:v>S</x:v>
      </x:c>
      <x:c r="D2" s="20" t="n">
        <x:v>1</x:v>
      </x:c>
      <x:c r="E2" s="20" t="str">
        <x:v>IMG07</x:v>
      </x:c>
      <x:c r="F2" s="20" t="str">
        <x:v>Ya existía en la tanda anterior</x:v>
      </x:c>
      <x:c r="G2" s="20" t="str">
        <x:v>Legacy Bra | Classic Blue | S</x:v>
      </x:c>
      <x:c r="H2"/>
      <x:c r="I2"/>
      <x:c r="J2"/>
      <x:c r="K2"/>
      <x:c r="L2"/>
      <x:c r="M2"/>
      <x:c r="N2"/>
      <x:c r="O2"/>
      <x:c r="P2"/>
      <x:c r="Q2"/>
    </x:row>
    <x:row r="3">
      <x:c r="A3" s="20" t="str">
        <x:v>Contour Stitch Tank with Shelf</x:v>
      </x:c>
      <x:c r="B3" s="20" t="str">
        <x:v>Heavy Blue</x:v>
      </x:c>
      <x:c r="C3" s="20" t="str">
        <x:v>S</x:v>
      </x:c>
      <x:c r="D3" s="20" t="n">
        <x:v>1</x:v>
      </x:c>
      <x:c r="E3" s="20" t="str">
        <x:v>IMG09</x:v>
      </x:c>
      <x:c r="F3" s="20" t="str">
        <x:v>Ya existía en la tanda anterior</x:v>
      </x:c>
      <x:c r="G3" s="20" t="str">
        <x:v>Contour Stitch Tank with Shelf | Heavy Blue | S</x:v>
      </x:c>
      <x:c r="H3"/>
      <x:c r="I3"/>
      <x:c r="J3"/>
      <x:c r="K3"/>
      <x:c r="L3"/>
      <x:c r="M3"/>
      <x:c r="N3"/>
      <x:c r="O3"/>
      <x:c r="P3"/>
      <x:c r="Q3"/>
    </x:row>
    <x:row r="4">
      <x:c r="A4" s="20" t="str">
        <x:v>Contour Stitch Tank with Shelf</x:v>
      </x:c>
      <x:c r="B4" s="20" t="str">
        <x:v>Heavy Blue</x:v>
      </x:c>
      <x:c r="C4" s="20" t="str">
        <x:v>M</x:v>
      </x:c>
      <x:c r="D4" s="20" t="n">
        <x:v>1</x:v>
      </x:c>
      <x:c r="E4" s="20" t="str">
        <x:v>IMG09</x:v>
      </x:c>
      <x:c r="F4" s="20" t="str">
        <x:v>Ya existía en la tanda anterior</x:v>
      </x:c>
      <x:c r="G4" s="20" t="str">
        <x:v>Contour Stitch Tank with Shelf | Heavy Blue | M</x:v>
      </x:c>
      <x:c r="H4"/>
      <x:c r="I4"/>
      <x:c r="J4"/>
      <x:c r="K4"/>
      <x:c r="L4"/>
      <x:c r="M4"/>
      <x:c r="N4"/>
      <x:c r="O4"/>
      <x:c r="P4"/>
      <x:c r="Q4"/>
    </x:row>
    <x:row r="5">
      <x:c r="A5" s="20" t="str">
        <x:v>Minimal Sports Bra 2.0</x:v>
      </x:c>
      <x:c r="B5" s="20" t="str">
        <x:v>Poise Pink</x:v>
      </x:c>
      <x:c r="C5" s="20" t="str">
        <x:v>M</x:v>
      </x:c>
      <x:c r="D5" s="20" t="n">
        <x:v>1</x:v>
      </x:c>
      <x:c r="E5" s="20" t="str">
        <x:v>IMG23</x:v>
      </x:c>
      <x:c r="F5" s="20" t="str">
        <x:v>Ya estaba agregado desde IMG19</x:v>
      </x:c>
      <x:c r="G5" s="20" t="str">
        <x:v>Minimal Sports Bra 2.0 | Poise Pink | M</x:v>
      </x:c>
    </x:row>
    <x:row r="6">
      <x:c r="A6" s="20" t="str">
        <x:v>Minimal Sports Bra 2.0</x:v>
      </x:c>
      <x:c r="B6" s="20" t="str">
        <x:v>Poise Pink</x:v>
      </x:c>
      <x:c r="C6" s="20" t="str">
        <x:v>S</x:v>
      </x:c>
      <x:c r="D6" s="20" t="n">
        <x:v>1</x:v>
      </x:c>
      <x:c r="E6" s="20" t="str">
        <x:v>IMG24</x:v>
      </x:c>
      <x:c r="F6" s="20" t="str">
        <x:v>Ya estaba agregado desde IMG23</x:v>
      </x:c>
      <x:c r="G6" s="20" t="str">
        <x:v>Minimal Sports Bra 2.0 | Poise Pink | S</x:v>
      </x:c>
    </x:row>
  </x:sheetData>
  <x:pageMargins left="0.7" right="0.7" top="0.75" bottom="0.75" header="0.3" footer="0.3"/>
</x:worksheet>
</file>